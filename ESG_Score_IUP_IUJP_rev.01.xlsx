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cbqaglobal/Documents/New project/ESG Score/"/>
    </mc:Choice>
  </mc:AlternateContent>
  <xr:revisionPtr revIDLastSave="0" documentId="13_ncr:1_{CB6F1247-16C5-444D-A5DD-2BB253F5C5FD}" xr6:coauthVersionLast="47" xr6:coauthVersionMax="47" xr10:uidLastSave="{00000000-0000-0000-0000-000000000000}"/>
  <bookViews>
    <workbookView xWindow="240" yWindow="1800" windowWidth="28080" windowHeight="15240" activeTab="4" xr2:uid="{00000000-000D-0000-FFFF-FFFF00000000}"/>
  </bookViews>
  <sheets>
    <sheet name="Panduan" sheetId="1" r:id="rId1"/>
    <sheet name="Profil Peserta" sheetId="2" r:id="rId2"/>
    <sheet name="Bobot Kategori" sheetId="3" r:id="rId3"/>
    <sheet name="Maturity" sheetId="4" r:id="rId4"/>
    <sheet name="Master Checklist" sheetId="5" r:id="rId5"/>
    <sheet name="ESG Score Summary" sheetId="6" r:id="rId6"/>
    <sheet name="Award Level" sheetId="7" r:id="rId7"/>
    <sheet name="Red Fla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5" l="1"/>
  <c r="G8" i="6"/>
  <c r="G7" i="6"/>
  <c r="G6" i="6"/>
  <c r="G11" i="3"/>
  <c r="G10" i="3"/>
  <c r="G9" i="3"/>
  <c r="G8" i="3"/>
  <c r="G7" i="3"/>
  <c r="G6" i="3"/>
  <c r="C11" i="2"/>
  <c r="B3" i="7" s="1"/>
  <c r="K48" i="5" l="1"/>
  <c r="K50" i="5"/>
  <c r="C7" i="6"/>
  <c r="K52" i="5"/>
  <c r="C6" i="6"/>
  <c r="K45" i="5"/>
  <c r="K53" i="5"/>
  <c r="C8" i="6"/>
  <c r="K46" i="5"/>
  <c r="K54" i="5"/>
  <c r="B3" i="6"/>
  <c r="K49" i="5"/>
  <c r="L49" i="5" s="1"/>
  <c r="M49" i="5" s="1"/>
  <c r="K51" i="5"/>
  <c r="K47" i="5"/>
  <c r="K55" i="5"/>
  <c r="L55" i="5" s="1"/>
  <c r="M55" i="5" s="1"/>
  <c r="K44" i="5"/>
  <c r="L44" i="5" s="1"/>
  <c r="M44" i="5" s="1"/>
  <c r="K43" i="5"/>
  <c r="K42" i="5"/>
  <c r="K41" i="5"/>
  <c r="K40" i="5"/>
  <c r="K39" i="5"/>
  <c r="K38" i="5"/>
  <c r="K37" i="5"/>
  <c r="K36" i="5"/>
  <c r="K35" i="5"/>
  <c r="K34" i="5"/>
  <c r="K33" i="5"/>
  <c r="K32" i="5"/>
  <c r="K31" i="5"/>
  <c r="K30" i="5"/>
  <c r="K29" i="5"/>
  <c r="L29" i="5" s="1"/>
  <c r="M29" i="5" s="1"/>
  <c r="K28" i="5"/>
  <c r="L28" i="5" s="1"/>
  <c r="M28" i="5" s="1"/>
  <c r="K27" i="5"/>
  <c r="L27" i="5" s="1"/>
  <c r="M27" i="5" s="1"/>
  <c r="K26" i="5"/>
  <c r="L26" i="5" s="1"/>
  <c r="M26" i="5" s="1"/>
  <c r="K25" i="5"/>
  <c r="L25" i="5" s="1"/>
  <c r="M25" i="5" s="1"/>
  <c r="K24" i="5"/>
  <c r="L24" i="5" s="1"/>
  <c r="M24" i="5" s="1"/>
  <c r="K22" i="5"/>
  <c r="K21" i="5"/>
  <c r="K20" i="5"/>
  <c r="K19" i="5"/>
  <c r="K18" i="5"/>
  <c r="K17" i="5"/>
  <c r="K16" i="5"/>
  <c r="K15" i="5"/>
  <c r="K14" i="5"/>
  <c r="K13" i="5"/>
  <c r="L13" i="5" s="1"/>
  <c r="M13" i="5" s="1"/>
  <c r="K12" i="5"/>
  <c r="K11" i="5"/>
  <c r="K10" i="5"/>
  <c r="K9" i="5"/>
  <c r="K8" i="5"/>
  <c r="K7" i="5"/>
  <c r="B3" i="5"/>
  <c r="L53" i="5" l="1"/>
  <c r="M53" i="5" s="1"/>
  <c r="L45" i="5"/>
  <c r="M45" i="5" s="1"/>
  <c r="L47" i="5"/>
  <c r="M47" i="5" s="1"/>
  <c r="L9" i="5"/>
  <c r="M9" i="5" s="1"/>
  <c r="L52" i="5"/>
  <c r="M52" i="5" s="1"/>
  <c r="L30" i="5"/>
  <c r="M30" i="5" s="1"/>
  <c r="L51" i="5"/>
  <c r="M51" i="5" s="1"/>
  <c r="L10" i="5"/>
  <c r="M10" i="5" s="1"/>
  <c r="L8" i="5"/>
  <c r="M8" i="5" s="1"/>
  <c r="L54" i="5"/>
  <c r="M54" i="5" s="1"/>
  <c r="L50" i="5"/>
  <c r="M50" i="5" s="1"/>
  <c r="L12" i="5"/>
  <c r="M12" i="5" s="1"/>
  <c r="L46" i="5"/>
  <c r="M46" i="5" s="1"/>
  <c r="L48" i="5"/>
  <c r="M48" i="5" s="1"/>
  <c r="L39" i="5"/>
  <c r="M39" i="5" s="1"/>
  <c r="L17" i="5"/>
  <c r="M17" i="5" s="1"/>
  <c r="L23" i="5"/>
  <c r="M23" i="5" s="1"/>
  <c r="L22" i="5"/>
  <c r="M22" i="5" s="1"/>
  <c r="L21" i="5"/>
  <c r="M21" i="5" s="1"/>
  <c r="L20" i="5"/>
  <c r="M20" i="5" s="1"/>
  <c r="L19" i="5"/>
  <c r="M19" i="5" s="1"/>
  <c r="L16" i="5"/>
  <c r="M16" i="5" s="1"/>
  <c r="L11" i="5"/>
  <c r="M11" i="5" s="1"/>
  <c r="L7" i="5"/>
  <c r="L35" i="5"/>
  <c r="M35" i="5" s="1"/>
  <c r="L41" i="5"/>
  <c r="M41" i="5" s="1"/>
  <c r="L34" i="5"/>
  <c r="M34" i="5" s="1"/>
  <c r="L31" i="5"/>
  <c r="L18" i="5"/>
  <c r="M18" i="5" s="1"/>
  <c r="L14" i="5"/>
  <c r="M14" i="5" s="1"/>
  <c r="L43" i="5"/>
  <c r="M43" i="5" s="1"/>
  <c r="L33" i="5"/>
  <c r="M33" i="5" s="1"/>
  <c r="L42" i="5"/>
  <c r="M42" i="5" s="1"/>
  <c r="L40" i="5"/>
  <c r="M40" i="5" s="1"/>
  <c r="L38" i="5"/>
  <c r="M38" i="5" s="1"/>
  <c r="L36" i="5"/>
  <c r="M36" i="5" s="1"/>
  <c r="L32" i="5"/>
  <c r="M32" i="5" s="1"/>
  <c r="L15" i="5"/>
  <c r="M15" i="5" s="1"/>
  <c r="L37" i="5"/>
  <c r="M37" i="5" s="1"/>
  <c r="E8" i="6" l="1"/>
  <c r="D8" i="6"/>
  <c r="D6" i="6"/>
  <c r="M7" i="5"/>
  <c r="E6" i="6" s="1"/>
  <c r="M31" i="5"/>
  <c r="E7" i="6" s="1"/>
  <c r="D7" i="6"/>
  <c r="F8" i="6" l="1"/>
  <c r="H8" i="6" s="1"/>
  <c r="I8" i="6" s="1"/>
  <c r="F7" i="6"/>
  <c r="H7" i="6" s="1"/>
  <c r="F6" i="6"/>
  <c r="H6" i="6" s="1"/>
  <c r="C8" i="7" l="1"/>
  <c r="J8" i="6"/>
  <c r="C7" i="7"/>
  <c r="J7" i="6"/>
  <c r="I7" i="6"/>
  <c r="C6" i="7"/>
  <c r="C11" i="7" s="1"/>
  <c r="C13" i="7" s="1"/>
  <c r="I6" i="6"/>
  <c r="J6" i="6"/>
  <c r="C10" i="7" l="1"/>
  <c r="C17" i="7" s="1"/>
  <c r="C18" i="7" s="1"/>
</calcChain>
</file>

<file path=xl/sharedStrings.xml><?xml version="1.0" encoding="utf-8"?>
<sst xmlns="http://schemas.openxmlformats.org/spreadsheetml/2006/main" count="446" uniqueCount="302">
  <si>
    <t>Profil Peserta ESG Award</t>
  </si>
  <si>
    <t>Nama Perusahaan</t>
  </si>
  <si>
    <t>Nomor Izin (IUP/IUJP)</t>
  </si>
  <si>
    <t>Tanggal Assessment</t>
  </si>
  <si>
    <t>Nama Assessor (CBQA)</t>
  </si>
  <si>
    <t>Jenis Izin</t>
  </si>
  <si>
    <t>IUP</t>
  </si>
  <si>
    <t>Sub-Jenis Layanan Utama (khusus IUJP)</t>
  </si>
  <si>
    <t>Diisi HANYA jika Jenis Izin = IUJP. Pilih sub-jenis yang paling menggambarkan lingkup usaha utama peserta. Lihat sheet 'Panduan' bagian 4 untuk definisi masing-masing.</t>
  </si>
  <si>
    <t>Kode Profil (otomatis)</t>
  </si>
  <si>
    <t>Sel ini dipakai formula di sheet lain (Master Checklist, ESG Score Summary, Award Level). Jangan dihapus atau dipindah.</t>
  </si>
  <si>
    <t>Mining ESG Award — Panduan Penilaian</t>
  </si>
  <si>
    <t>Kerangka penilaian tersegmentasi untuk peserta IUP dan IUJP (per sub-jenis layanan)</t>
  </si>
  <si>
    <t>1. Struktur Workbook</t>
  </si>
  <si>
    <t>• Profil Peserta   : isi identitas peserta dan pilih Jenis Izin (IUP/IUJP) + Sub-Jenis Layanan (khusus IUJP). Pilihan ini mengendalikan seluruh sheet lain secara otomatis.</t>
  </si>
  <si>
    <t>• Bobot Kategori   : tabel bobot target Environmental/Social/Governance untuk setiap profil peserta.</t>
  </si>
  <si>
    <t>• Maturity         : definisi level kematangan 0-5 (tidak berubah dari versi sebelumnya).</t>
  </si>
  <si>
    <t>• Master Checklist : seluruh kriteria penilaian (gabungan IUP + semua sub-jenis IUJP) dengan kolom Applicability. Kriteria yang tidak relevan dengan profil peserta terpilih otomatis di-nonaktifkan (bobot = 0) dan bobot kriteria yang relevan dinormalisasi ulang agar total tetap 100% per kategori.</t>
  </si>
  <si>
    <t>• ESG Score Summary: rekap skor per pilar (E/S/G) hasil normalisasi.</t>
  </si>
  <si>
    <t>• Award Level      : penentuan level kematangan &amp; kategori Award berdasarkan skor 0-5 per pilar.</t>
  </si>
  <si>
    <t>• Red Flag         : aturan veto/diskualifikasi — berlaku sama untuk IUP maupun IUJP.</t>
  </si>
  <si>
    <t>2. Cara Pakai</t>
  </si>
  <si>
    <t>1) Buka sheet 'Profil Peserta', isi nama perusahaan dan pilih Jenis Izin.</t>
  </si>
  <si>
    <t>2) Jika IUJP, pilih Sub-Jenis Layanan Utama yang paling menggambarkan lingkup usaha peserta.</t>
  </si>
  <si>
    <t>3) Buka sheet 'Master Checklist'. Kolom 'Berlaku?' menandai kriteria yang wajib dinilai untuk profil ini (nilai 1) — abaikan baris dengan 'Berlaku?' = 0, kolom skor akan tetap dapat diisi namun tidak memengaruhi hasil.</t>
  </si>
  <si>
    <t>4) Isi kolom 'Skor Asesor (0-5)' HANYA untuk baris yang berlaku, berdasarkan bukti/evidence yang diperiksa.</t>
  </si>
  <si>
    <t>5) Hasil otomatis terhitung di 'ESG Score Summary' dan 'Award Level'.</t>
  </si>
  <si>
    <t>3. Mengapa Disegmentasi?</t>
  </si>
  <si>
    <t>Peserta IUP (pemegang Izin Usaha Pertambangan) bertanggung jawab penuh atas jejak lingkungan skala tapak tambang (tailing, biodiversitas, penutupan tambang), sedangkan peserta IUJP (Izin Usaha Jasa Pertambangan) memberikan jasa dalam lingkup yang lebih spesifik dan tidak memiliki kendali atas hal-hal tersebut. Menilai keduanya dengan kriteria identik akan membuat sebagian besar kriteria Environmental menjadi tidak relevan/N-A bagi IUJP, sehingga tidak adil dan tidak mencerminkan performa ESG sesungguhnya. Kerangka ini membedakan kriteria berdasarkan lingkup kendali (control) masing-masing jenis peserta, sambil tetap mempertahankan standar Social dan Governance yang setara untuk semua.</t>
  </si>
  <si>
    <t>4. Sub-Jenis Layanan IUJP yang Digunakan</t>
  </si>
  <si>
    <t>• IUJP - Konsultasi &amp; Perencanaan   : studi kelayakan, AMDAL, geoteknik, mine planning, jasa laboratorium/uji.</t>
  </si>
  <si>
    <t>• IUJP - Operasional Alat Berat &amp; Hauling : pengupasan tanah, pemuatan, pengangkutan, penyewaan alat berat.</t>
  </si>
  <si>
    <t>• IUJP - Pengeboran &amp; Peledakan (Drilling &amp; Blasting) : jasa eksplorasi bor dan peledakan.</t>
  </si>
  <si>
    <t>• IUJP - Pengolahan &amp; Pemurnian     : kontraktor pengolahan/pemurnian (processing/refining).</t>
  </si>
  <si>
    <t>• IUJP - Jasa Penunjang             : camp &amp; catering, logistik non-alat berat, keamanan, jasa penunjang lain.</t>
  </si>
  <si>
    <t>Bobot Target per Pilar (E / S / G)</t>
  </si>
  <si>
    <t>Total bobot tiap profil = 100%. Digunakan sebagai target normalisasi di Master Checklist.</t>
  </si>
  <si>
    <t>Kode Profil</t>
  </si>
  <si>
    <t>Environmental</t>
  </si>
  <si>
    <t>Social</t>
  </si>
  <si>
    <t>Governance</t>
  </si>
  <si>
    <t>Rasional Singkat</t>
  </si>
  <si>
    <t>Total</t>
  </si>
  <si>
    <t>Pemegang izin tambang; kendali penuh atas jejak lingkungan tapak (tailing, biodiversitas, closure).</t>
  </si>
  <si>
    <t>IUJP-KONSULTASI</t>
  </si>
  <si>
    <t>Jasa berbasis kantor/lab; jejak lingkungan operasional minim, governance &amp; kualitas data jadi kunci.</t>
  </si>
  <si>
    <t>IUJP-OPERASIONAL</t>
  </si>
  <si>
    <t>Alat berat &amp; hauling; jejak emisi/BBM signifikan, risiko K3 tinggi.</t>
  </si>
  <si>
    <t>IUJP-DRILLING</t>
  </si>
  <si>
    <t>Pengeboran &amp; peledakan; risiko K3 &amp; lingkungan spesifik (lumpur bor, getaran, kebisingan).</t>
  </si>
  <si>
    <t>IUJP-PENGOLAHAN</t>
  </si>
  <si>
    <t>Kontraktor pengolahan/pemurnian; jejak air &amp; limbah proses mendekati profil IUP.</t>
  </si>
  <si>
    <t>IUJP-PENUNJANG</t>
  </si>
  <si>
    <t>Camp, catering, logistik non-alat berat; dominan isu kesejahteraan pekerja &amp; governance kontraktual.</t>
  </si>
  <si>
    <t>Skala Maturity Level (0-5)</t>
  </si>
  <si>
    <t>Skor</t>
  </si>
  <si>
    <t>Level</t>
  </si>
  <si>
    <t>Deskripsi</t>
  </si>
  <si>
    <t>Tidak Ada</t>
  </si>
  <si>
    <t>Tidak ada kebijakan, praktik, atau bukti sama sekali terkait kriteria ini.</t>
  </si>
  <si>
    <t>Ad-hoc</t>
  </si>
  <si>
    <t>Praktik dilakukan secara tidak konsisten/reaktif, tanpa dokumentasi formal.</t>
  </si>
  <si>
    <t>Foundational</t>
  </si>
  <si>
    <t>Kebijakan/prosedur tertulis sudah ada, implementasi masih terbatas atau baru dimulai.</t>
  </si>
  <si>
    <t>Integration</t>
  </si>
  <si>
    <t>Diterapkan secara konsisten di seluruh unit terkait, dengan monitoring rutin.</t>
  </si>
  <si>
    <t>Advanced</t>
  </si>
  <si>
    <t>Terintegrasi dalam sistem manajemen, ada target terukur dan evaluasi berkala.</t>
  </si>
  <si>
    <t>Leadership</t>
  </si>
  <si>
    <t>Praktik terbaik industri, terverifikasi independen, menjadi acuan/benchmark sektor.</t>
  </si>
  <si>
    <t>Level Kematangan Kategori (rata-rata skor 0-5 dalam satu pilar E/S/G):</t>
  </si>
  <si>
    <t>0.0 - &lt; 2.0</t>
  </si>
  <si>
    <t>Belum Memenuhi (Not Yet Qualified)</t>
  </si>
  <si>
    <t>2.0 - &lt; 3.0</t>
  </si>
  <si>
    <t>Foundation</t>
  </si>
  <si>
    <t>3.0 - &lt; 4.0</t>
  </si>
  <si>
    <t>4.0 - 5.0</t>
  </si>
  <si>
    <t>Master Checklist — ESG Award (IUP &amp; IUJP)</t>
  </si>
  <si>
    <t>No</t>
  </si>
  <si>
    <t>Kategori</t>
  </si>
  <si>
    <t>Sub-Kategori</t>
  </si>
  <si>
    <t>Kode</t>
  </si>
  <si>
    <t>Kriteria Pertanyaan</t>
  </si>
  <si>
    <t>Bukti / Evidence</t>
  </si>
  <si>
    <t>Applicability Tag</t>
  </si>
  <si>
    <t>Bobot Dasar</t>
  </si>
  <si>
    <t>Skor Asesor (0-5)</t>
  </si>
  <si>
    <t>Berlaku?</t>
  </si>
  <si>
    <t>Bobot Ternormalisasi</t>
  </si>
  <si>
    <t>Skor Terbobot</t>
  </si>
  <si>
    <t>Tailing &amp; Air</t>
  </si>
  <si>
    <t>1.1</t>
  </si>
  <si>
    <t>Desain dan tinjauan independen (Engineer of Record) fasilitas tailing</t>
  </si>
  <si>
    <t>Laporan EoR, sertifikat desain</t>
  </si>
  <si>
    <t>1.2</t>
  </si>
  <si>
    <t>Instrumentasi dan pemantauan stabilitas tailing berjalan</t>
  </si>
  <si>
    <t>Data monitoring piezometer/inklinometer</t>
  </si>
  <si>
    <t>1.3</t>
  </si>
  <si>
    <t>Rencana tanggap darurat (ERP) tailing dan simulasi berkala</t>
  </si>
  <si>
    <t>Dokumen ERP, berita acara simulasi</t>
  </si>
  <si>
    <t>1.4</t>
  </si>
  <si>
    <t>Neraca air (water balance) tapak operasi terverifikasi</t>
  </si>
  <si>
    <t>Laporan neraca air tahunan</t>
  </si>
  <si>
    <t>IUP,IUJP-PENGOLAHAN</t>
  </si>
  <si>
    <t>1.5</t>
  </si>
  <si>
    <t>Tingkat daur ulang air (water recycle rate)</t>
  </si>
  <si>
    <t>Data volume air daur ulang vs total pemakaian</t>
  </si>
  <si>
    <t>1.6</t>
  </si>
  <si>
    <t>Kualitas efluen memenuhi baku mutu</t>
  </si>
  <si>
    <t>Hasil uji lab efluen berkala</t>
  </si>
  <si>
    <t>Biodiversitas &amp; Closure</t>
  </si>
  <si>
    <t>2.1</t>
  </si>
  <si>
    <t>Studi baseline keanekaragaman hayati sebelum gangguan lahan</t>
  </si>
  <si>
    <t>Laporan baseline biodiversitas</t>
  </si>
  <si>
    <t>2.2</t>
  </si>
  <si>
    <t>Adopsi kerangka pengungkapan TNFD atau setara</t>
  </si>
  <si>
    <t>Laporan TNFD/nature-related disclosure</t>
  </si>
  <si>
    <t>2.3</t>
  </si>
  <si>
    <t>Sertifikasi ISO 14001 (Sistem Manajemen Lingkungan) aktif</t>
  </si>
  <si>
    <t>Sertifikat ISO 14001 dan lingkup sertifikasi</t>
  </si>
  <si>
    <t>IUP,IUJP-KONSULTASI,IUJP-OPERASIONAL,IUJP-DRILLING,IUJP-PENGOLAHAN,IUJP-PENUNJANG</t>
  </si>
  <si>
    <t>2.4</t>
  </si>
  <si>
    <t>Dana jaminan reklamasi/closure tersedia (escrow)</t>
  </si>
  <si>
    <t>Bukti penempatan dana jaminan</t>
  </si>
  <si>
    <t>2.5</t>
  </si>
  <si>
    <t>Realisasi reklamasi progresif sesuai rencana</t>
  </si>
  <si>
    <t>Laporan realisasi reklamasi vs RKAB</t>
  </si>
  <si>
    <t>Dekarbonisasi</t>
  </si>
  <si>
    <t>3.1</t>
  </si>
  <si>
    <t>Inventarisasi GRK Scope 1 &amp; 2 mengacu ISO 14064-1</t>
  </si>
  <si>
    <t>Laporan inventarisasi GRK terverifikasi</t>
  </si>
  <si>
    <t>3.2</t>
  </si>
  <si>
    <t>Target net-zero/SBTi atau target penurunan emisi terukur</t>
  </si>
  <si>
    <t>Dokumen target &amp; roadmap dekarbonisasi</t>
  </si>
  <si>
    <t>3.3</t>
  </si>
  <si>
    <t>Sertifikasi ISO 50001 (Manajemen Energi) atau setara</t>
  </si>
  <si>
    <t>Sertifikat ISO 50001 / audit energi</t>
  </si>
  <si>
    <t>3.4</t>
  </si>
  <si>
    <t>Persentase pemanfaatan energi baru terbarukan (EBT)</t>
  </si>
  <si>
    <t>Data bauran energi</t>
  </si>
  <si>
    <t>IUP,IUJP-OPERASIONAL,IUJP-PENGOLAHAN</t>
  </si>
  <si>
    <t>3.5</t>
  </si>
  <si>
    <t>Program elektrifikasi/efisiensi bahan bakar armada &amp; alat berat</t>
  </si>
  <si>
    <t>Data konsumsi BBM per jam operasi, rencana elektrifikasi</t>
  </si>
  <si>
    <t>IUP,IUJP-OPERASIONAL,IUJP-DRILLING</t>
  </si>
  <si>
    <t>Jejak Operasional Jasa (IUJP)</t>
  </si>
  <si>
    <t>3.6</t>
  </si>
  <si>
    <t>Program manajemen tumpahan B3/BBM di area kerja</t>
  </si>
  <si>
    <t>SOP spill management, catatan insiden tumpahan</t>
  </si>
  <si>
    <t>IUP,IUJP-OPERASIONAL,IUJP-DRILLING,IUJP-PENGOLAHAN</t>
  </si>
  <si>
    <t>3.7</t>
  </si>
  <si>
    <t>Pemantauan dan pengendalian debu/emisi dari aktivitas hauling &amp; alat berat</t>
  </si>
  <si>
    <t>Data pemantauan kualitas udara, jadwal penyiraman jalan</t>
  </si>
  <si>
    <t>3.8</t>
  </si>
  <si>
    <t>Pengelolaan lumpur pemboran (drilling mud) &amp; cutting sesuai baku mutu limbah B3</t>
  </si>
  <si>
    <t>Manifest limbah B3, SOP pengelolaan mud &amp; cutting</t>
  </si>
  <si>
    <t>3.9</t>
  </si>
  <si>
    <t>Manajemen getaran (blast vibration) dan kebisingan aktivitas peledakan</t>
  </si>
  <si>
    <t>Data monitoring vibrasi/kebisingan, izin peledakan</t>
  </si>
  <si>
    <t>3.10</t>
  </si>
  <si>
    <t>Pengelolaan limbah proses pengolahan/pemurnian sesuai baku mutu B3</t>
  </si>
  <si>
    <t>Manifest limbah proses, hasil uji lab</t>
  </si>
  <si>
    <t>3.11</t>
  </si>
  <si>
    <t>Praktik manajemen lingkungan kantor/basecamp (sampah, efisiensi energi, digitalisasi dokumen)</t>
  </si>
  <si>
    <t>Kebijakan green office, data pemilahan sampah</t>
  </si>
  <si>
    <t>IUJP-KONSULTASI,IUJP-PENUNJANG</t>
  </si>
  <si>
    <t>3.12</t>
  </si>
  <si>
    <t>Pengelolaan limbah domestik &amp; sanitasi camp/mess pekerja</t>
  </si>
  <si>
    <t>SOP pengelolaan limbah domestik, hasil inspeksi sanitasi</t>
  </si>
  <si>
    <t>Keselamatan &amp; Kesehatan Kerja</t>
  </si>
  <si>
    <t>4.1</t>
  </si>
  <si>
    <t>Sertifikasi ISO 45001 (SMK3) aktif</t>
  </si>
  <si>
    <t>Sertifikat ISO 45001</t>
  </si>
  <si>
    <t>4.2</t>
  </si>
  <si>
    <t>Lost Time Injury / Total Recordable Injury Frequency Rate (LTIFR/TRIFR)</t>
  </si>
  <si>
    <t>Data statistik kecelakaan kerja 3 tahun terakhir</t>
  </si>
  <si>
    <t>4.3</t>
  </si>
  <si>
    <t>Catatan fatalitas kerja dan investigasi akar masalah</t>
  </si>
  <si>
    <t>Laporan investigasi insiden fatal (jika ada)</t>
  </si>
  <si>
    <t>4.4</t>
  </si>
  <si>
    <t>Program kesehatan kerja &amp; kesehatan mental pekerja</t>
  </si>
  <si>
    <t>Dokumen program, data partisipasi</t>
  </si>
  <si>
    <t>4.5</t>
  </si>
  <si>
    <t>Penerapan Stop Work Authority (hak berhenti kerja jika tidak aman)</t>
  </si>
  <si>
    <t>Kebijakan SWA, contoh penerapan/insiden</t>
  </si>
  <si>
    <t>Masyarakat &amp; Lahan</t>
  </si>
  <si>
    <t>5.1</t>
  </si>
  <si>
    <t>Proses FPIC (Free, Prior, Informed Consent) untuk akuisisi lahan baru</t>
  </si>
  <si>
    <t>Dokumentasi konsultasi &amp; persetujuan masyarakat</t>
  </si>
  <si>
    <t>5.2</t>
  </si>
  <si>
    <t>Mekanisme keluhan (grievance) yang dapat diakses masyarakat/pekerja</t>
  </si>
  <si>
    <t>SOP grievance, log keluhan</t>
  </si>
  <si>
    <t>5.3</t>
  </si>
  <si>
    <t>Persentase keluhan yang terselesaikan tepat waktu</t>
  </si>
  <si>
    <t>Data tracking penyelesaian keluhan</t>
  </si>
  <si>
    <t>5.4</t>
  </si>
  <si>
    <t>Program pengembangan ekonomi masyarakat (Community Development)</t>
  </si>
  <si>
    <t>Laporan realisasi program CD/CSR</t>
  </si>
  <si>
    <t>5.5</t>
  </si>
  <si>
    <t>Pemantauan lingkungan partisipatif bersama masyarakat</t>
  </si>
  <si>
    <t>Berita acara pemantauan bersama</t>
  </si>
  <si>
    <t>Rantai Pasok &amp; HAM</t>
  </si>
  <si>
    <t>6.1</t>
  </si>
  <si>
    <t>Supplier/Sub-kontraktor Code of Conduct diterapkan</t>
  </si>
  <si>
    <t>Dokumen code of conduct &amp; bukti sosialisasi</t>
  </si>
  <si>
    <t>6.2</t>
  </si>
  <si>
    <t>Audit K3/HAM terhadap kontraktor tier-1</t>
  </si>
  <si>
    <t>Laporan audit kontraktor</t>
  </si>
  <si>
    <t>6.3</t>
  </si>
  <si>
    <t>Kebijakan HAM mengacu UN Guiding Principles (UNGP)</t>
  </si>
  <si>
    <t>Dokumen kebijakan HAM</t>
  </si>
  <si>
    <t>6.4</t>
  </si>
  <si>
    <t>Kebijakan anti pekerja anak &amp; kerja paksa</t>
  </si>
  <si>
    <t>Dokumen kebijakan, hasil due diligence tenaga kerja</t>
  </si>
  <si>
    <t>6.5</t>
  </si>
  <si>
    <t>Standar kesejahteraan pekerja lapangan (akomodasi, gizi, jam kerja &amp; istirahat sesuai UU Ketenagakerjaan)</t>
  </si>
  <si>
    <t>Inspeksi camp/mess, data jam kerja &amp; lembur</t>
  </si>
  <si>
    <t>IUJP-PENUNJANG,IUJP-OPERASIONAL,IUJP-DRILLING</t>
  </si>
  <si>
    <t>Integritas &amp; Kepatuhan</t>
  </si>
  <si>
    <t>7.1</t>
  </si>
  <si>
    <t>Sertifikasi ISO 37001 (Sistem Manajemen Anti Penyuapan)</t>
  </si>
  <si>
    <t>Sertifikat ISO 37001</t>
  </si>
  <si>
    <t>7.2</t>
  </si>
  <si>
    <t>Saluran pelaporan pelanggaran (whistleblowing) independen</t>
  </si>
  <si>
    <t>SOP whistleblowing, bukti pengelolaan independen</t>
  </si>
  <si>
    <t>7.3</t>
  </si>
  <si>
    <t>Sertifikasi ISO 37301 (Sistem Manajemen Kepatuhan)</t>
  </si>
  <si>
    <t>Sertifikat ISO 37301</t>
  </si>
  <si>
    <t>7.4a</t>
  </si>
  <si>
    <t>Transparansi pembayaran kepada pemerintah (EITI/Publish What You Pay)</t>
  </si>
  <si>
    <t>Laporan EITI, data royalti &amp; pajak SDA</t>
  </si>
  <si>
    <t>7.4b</t>
  </si>
  <si>
    <t>Transparansi kepatuhan pajak &amp; kontrak kerja dengan pemberi kerja (IUP)</t>
  </si>
  <si>
    <t>Bukti kepatuhan pajak, laporan kinerja kontrak</t>
  </si>
  <si>
    <t>IUJP-KONSULTASI,IUJP-OPERASIONAL,IUJP-DRILLING,IUJP-PENGOLAHAN,IUJP-PENUNJANG</t>
  </si>
  <si>
    <t>7.5</t>
  </si>
  <si>
    <t>Uji tuntas (due diligence) integritas terhadap vendor/mitra</t>
  </si>
  <si>
    <t>SOP due diligence vendor, contoh hasil skrining</t>
  </si>
  <si>
    <t>Tata Kelola ESG</t>
  </si>
  <si>
    <t>8.1</t>
  </si>
  <si>
    <t>Komite/penanggung jawab ESG di tingkat manajemen puncak</t>
  </si>
  <si>
    <t>SK penunjukan, struktur organisasi</t>
  </si>
  <si>
    <t>8.2</t>
  </si>
  <si>
    <t>Frekuensi rapat/reviu kinerja ESG</t>
  </si>
  <si>
    <t>Notulen rapat/reviu ESG</t>
  </si>
  <si>
    <t>8.3</t>
  </si>
  <si>
    <t>Risiko ESG terintegrasi dalam Enterprise Risk Management (ERM)</t>
  </si>
  <si>
    <t>Risk register yang memuat risiko ESG</t>
  </si>
  <si>
    <t>8.4</t>
  </si>
  <si>
    <t>Keterkaitan remunerasi manajemen dengan capaian KPI ESG</t>
  </si>
  <si>
    <t>Dokumen kebijakan remunerasi/KPI</t>
  </si>
  <si>
    <t>8.5</t>
  </si>
  <si>
    <t>Penerbitan laporan keberlanjutan (Sustainability/ESG Report) mengacu standar diakui (GRI/ISSB)</t>
  </si>
  <si>
    <t>Laporan keberlanjutan terbit</t>
  </si>
  <si>
    <t>ESG Score Summary</t>
  </si>
  <si>
    <t>Pilar</t>
  </si>
  <si>
    <t>Bobot Target</t>
  </si>
  <si>
    <t>Total Bobot
Ternormalisasi
(cek)</t>
  </si>
  <si>
    <t>Total Skor
Terbobot
(mentah)</t>
  </si>
  <si>
    <t>Skor Rata-rata
Mentah (0-5)</t>
  </si>
  <si>
    <t>Batas Maks.
(Red Flag)</t>
  </si>
  <si>
    <t>Skor Rata-rata
Final (0-5)</t>
  </si>
  <si>
    <t>Skor Terbobot
Final</t>
  </si>
  <si>
    <t>Level Kematangan</t>
  </si>
  <si>
    <t>Catatan: 'Skor Rata-rata Final' = MIN(Skor Mentah, Batas Maksimal Red Flag). Batas Maksimal ditarik otomatis dari sheet 'Red Flag' bagian A. Jika tidak ada Red Flag aktif, batas maksimal = 5 (tidak membatasi apa pun). 'Skor Terbobot Final' dipakai sebagai basis Grand Score di sheet 'Award Level'.</t>
  </si>
  <si>
    <t>Award Level &amp; Grand Score</t>
  </si>
  <si>
    <t>Komponen</t>
  </si>
  <si>
    <t>Nilai</t>
  </si>
  <si>
    <t>Skor Environmental (0-5, final)</t>
  </si>
  <si>
    <t>Skor Social (0-5, final)</t>
  </si>
  <si>
    <t>Skor Governance (0-5, final)</t>
  </si>
  <si>
    <t>Grand Score (skala 0-100)</t>
  </si>
  <si>
    <t>Skor Minimum per Pilar (syarat Award)</t>
  </si>
  <si>
    <t>Kategori Award</t>
  </si>
  <si>
    <t>THE GRAND ESG MINING CHAMPION</t>
  </si>
  <si>
    <t>Syarat: Grand Score ≥ 85 DAN skor minimum tiap pilar ≥ 3,0 DAN tidak ada Red Flag aktif</t>
  </si>
  <si>
    <t>Eligibilitas Grand Award</t>
  </si>
  <si>
    <t>Status</t>
  </si>
  <si>
    <t>Logika Kategori Award: ditentukan oleh PILAR TERLEMAH (bukan rata-rata), agar peserta tidak bisa menutupi kelemahan satu pilar dengan keunggulan pilar lain. Grand Award adalah predikat TERTINGGI, diberikan kepada peserta dengan Grand Score tertinggi DI ANTARA seluruh peserta yang berstatus 'ELIGIBLE' pada cycle Award yang sama — sheet ini menghitung eligibilitas per-peserta; penentuan pemenang akhir dilakukan dengan membandingkan status ELIGIBLE dan Grand Score antar seluruh workbook peserta. Status Red Flag ditarik otomatis dari sheet 'Red Flag'.</t>
  </si>
  <si>
    <t>Red Flag Policy</t>
  </si>
  <si>
    <t>Berlaku sama untuk peserta IUP maupun seluruh sub-jenis IUJP. Assessor wajib memverifikasi kondisi di bawah ini secara independen (bukan berdasarkan self-declare peserta) sebelum finalisasi skor.</t>
  </si>
  <si>
    <t>A. Pembatasan Skor Otomatis (Score Cap)</t>
  </si>
  <si>
    <t>Kondisi</t>
  </si>
  <si>
    <t>Status Asesor</t>
  </si>
  <si>
    <t>Konsekuensi Otomatis</t>
  </si>
  <si>
    <t>Insiden fatalitas pekerja (kematian akibat kecelakaan kerja) dalam 12 bulan terakhir</t>
  </si>
  <si>
    <t>Tidak</t>
  </si>
  <si>
    <t>Skor pilar Social dibatasi maksimal 2,0 dan peserta TIDAK ELIGIBLE untuk Grand Award</t>
  </si>
  <si>
    <t>Kegagalan bendungan tailing (tailing dam failure) atau kebocoran bahan berbahaya (B3) ke lingkungan dalam 12 bulan terakhir</t>
  </si>
  <si>
    <t>Skor pilar Environmental dibatasi maksimal 2,0 dan peserta TIDAK ELIGIBLE untuk Grand Award</t>
  </si>
  <si>
    <t>Sanksi regulator berat: proses hukum berjalan atau sanksi pencabutan izin/teguran keras oleh pemerintah terkait pelanggaran lingkungan atau HAM yang BELUM diselesaikan</t>
  </si>
  <si>
    <t>Skor pilar Governance dibatasi maksimal 2,0 dan peserta TIDAK ELIGIBLE untuk Grand Award</t>
  </si>
  <si>
    <t>B. Diskualifikasi Total (Seluruh Kategori Award, termasuk Grand Award)</t>
  </si>
  <si>
    <t>Konsekuensi</t>
  </si>
  <si>
    <t>Temuan pelanggaran HAM berat (kerja paksa dan/atau pekerja anak) yang terverifikasi oleh otoritas atau audit independen</t>
  </si>
  <si>
    <t>Diskualifikasi total</t>
  </si>
  <si>
    <t>Kasus korupsi/suap yang telah berkekuatan hukum tetap melibatkan manajemen perusahaan</t>
  </si>
  <si>
    <t>Data material dimanipulasi atau dipalsukan pada dokumen bukti yang diserahkan ke assessor</t>
  </si>
  <si>
    <t>Apakah salah satu kondisi di atas (B) terpenuhi?</t>
  </si>
  <si>
    <t>Kolom 'Status Asesor' pada bagian A secara otomatis membatasi skor pilar terkait di sheet 'ESG Score Summary' dan menonaktifkan eligibilitas Grand Award di sheet 'Award Level'. Kolom pada bagian B (jika 'Ya') otomatis mendiskualifikasi peserta dari SELURUH kategori Award di sheet 'Award Level', terlepas dari skor yang dicapai.</t>
  </si>
  <si>
    <t>Ya</t>
  </si>
  <si>
    <t>Operasional Alat Berat &amp; Hauling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</si>
</sst>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0" x14ac:knownFonts="1">
    <font>
      <sz val="11"/>
      <color theme="1"/>
      <name val="Calibri"/>
      <family val="2"/>
      <scheme val="minor"/>
    </font>
    <font>
      <b/>
      <sz val="16"/>
      <color rgb="FF1E2761"/>
      <name val="Calibri"/>
      <family val="2"/>
    </font>
    <font>
      <i/>
      <sz val="11"/>
      <color rgb="FF6B7280"/>
      <name val="Calibri"/>
      <family val="2"/>
    </font>
    <font>
      <sz val="10.5"/>
      <name val="Calibri"/>
      <family val="2"/>
    </font>
    <font>
      <b/>
      <sz val="12"/>
      <color rgb="FF028090"/>
      <name val="Calibri"/>
      <family val="2"/>
    </font>
    <font>
      <b/>
      <sz val="10.5"/>
      <name val="Calibri"/>
      <family val="2"/>
    </font>
    <font>
      <sz val="10"/>
      <color rgb="FF0000FF"/>
      <name val="Calibri"/>
      <family val="2"/>
    </font>
    <font>
      <i/>
      <sz val="9"/>
      <color rgb="FF6B7280"/>
      <name val="Calibri"/>
      <family val="2"/>
    </font>
    <font>
      <b/>
      <sz val="10.5"/>
      <color rgb="FF1E2761"/>
      <name val="Calibri"/>
      <family val="2"/>
    </font>
    <font>
      <b/>
      <sz val="10.5"/>
      <color rgb="FF028090"/>
      <name val="Calibri"/>
      <family val="2"/>
    </font>
    <font>
      <b/>
      <sz val="11"/>
      <color rgb="FFFFFFFF"/>
      <name val="Calibri"/>
      <family val="2"/>
    </font>
    <font>
      <b/>
      <sz val="10"/>
      <name val="Calibri"/>
      <family val="2"/>
    </font>
    <font>
      <sz val="10"/>
      <color rgb="FF000000"/>
      <name val="Calibri"/>
      <family val="2"/>
    </font>
    <font>
      <i/>
      <sz val="9.5"/>
      <color rgb="FF6B7280"/>
      <name val="Calibri"/>
      <family val="2"/>
    </font>
    <font>
      <i/>
      <sz val="9"/>
      <color rgb="FFC0392B"/>
      <name val="Calibri"/>
      <family val="2"/>
    </font>
    <font>
      <b/>
      <sz val="12"/>
      <color rgb="FFC0392B"/>
      <name val="Calibri"/>
      <family val="2"/>
    </font>
    <font>
      <b/>
      <sz val="11"/>
      <color rgb="FFC0392B"/>
      <name val="Calibri"/>
      <family val="2"/>
    </font>
    <font>
      <b/>
      <i/>
      <sz val="11"/>
      <color rgb="FF028090"/>
      <name val="Calibri"/>
      <family val="2"/>
    </font>
    <font>
      <b/>
      <sz val="10"/>
      <color rgb="FFFFFFFF"/>
      <name val="Calibri"/>
      <family val="2"/>
    </font>
    <font>
      <sz val="8"/>
      <color rgb="FF6B7280"/>
      <name val="Calibri"/>
      <family val="2"/>
    </font>
    <font>
      <b/>
      <sz val="9.5"/>
      <color rgb="FF00A896"/>
      <name val="Calibri"/>
      <family val="2"/>
    </font>
    <font>
      <b/>
      <sz val="9.5"/>
      <color rgb="FF028090"/>
      <name val="Calibri"/>
      <family val="2"/>
    </font>
    <font>
      <b/>
      <sz val="9.5"/>
      <color rgb="FF1E2761"/>
      <name val="Calibri"/>
      <family val="2"/>
    </font>
    <font>
      <b/>
      <sz val="10"/>
      <color rgb="FFC0392B"/>
      <name val="Calibri"/>
      <family val="2"/>
    </font>
    <font>
      <b/>
      <sz val="11"/>
      <color rgb="FF1E2761"/>
      <name val="Calibri"/>
      <family val="2"/>
    </font>
    <font>
      <b/>
      <sz val="12"/>
      <color rgb="FF1E2761"/>
      <name val="Calibri"/>
      <family val="2"/>
    </font>
    <font>
      <b/>
      <sz val="14"/>
      <color rgb="FF028090"/>
      <name val="Calibri"/>
      <family val="2"/>
    </font>
    <font>
      <b/>
      <sz val="13"/>
      <color rgb="FFFFFFFF"/>
      <name val="Calibri"/>
      <family val="2"/>
    </font>
    <font>
      <b/>
      <sz val="13"/>
      <color rgb="FFB7791F"/>
      <name val="Calibri"/>
      <family val="2"/>
    </font>
    <font>
      <b/>
      <sz val="11"/>
      <name val="Calibri"/>
      <family val="2"/>
    </font>
  </fonts>
  <fills count="7">
    <fill>
      <patternFill patternType="none"/>
    </fill>
    <fill>
      <patternFill patternType="gray125"/>
    </fill>
    <fill>
      <patternFill patternType="solid">
        <fgColor rgb="FFEAF6F6"/>
      </patternFill>
    </fill>
    <fill>
      <patternFill patternType="solid">
        <fgColor rgb="FFFFF3CD"/>
      </patternFill>
    </fill>
    <fill>
      <patternFill patternType="solid">
        <fgColor rgb="FF1E2761"/>
      </patternFill>
    </fill>
    <fill>
      <patternFill patternType="solid">
        <fgColor rgb="FF028090"/>
      </patternFill>
    </fill>
    <fill>
      <patternFill patternType="solid">
        <fgColor rgb="FFB7791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2" borderId="1" xfId="0" applyFont="1" applyFill="1" applyBorder="1" applyAlignment="1">
      <alignment vertical="center"/>
    </xf>
    <xf numFmtId="0" fontId="7" fillId="0" borderId="0" xfId="0" applyFont="1" applyAlignment="1">
      <alignment vertical="top" wrapText="1"/>
    </xf>
    <xf numFmtId="0" fontId="8" fillId="0" borderId="0" xfId="0" applyFont="1"/>
    <xf numFmtId="0" fontId="9" fillId="3" borderId="1" xfId="0" applyFont="1" applyFill="1" applyBorder="1"/>
    <xf numFmtId="0" fontId="10" fillId="4" borderId="1" xfId="0" applyFont="1" applyFill="1" applyBorder="1" applyAlignment="1">
      <alignment horizontal="center" vertical="center" wrapText="1"/>
    </xf>
    <xf numFmtId="0" fontId="11" fillId="0" borderId="1" xfId="0" applyFont="1" applyBorder="1"/>
    <xf numFmtId="9" fontId="12" fillId="0" borderId="1" xfId="0" applyNumberFormat="1" applyFont="1" applyBorder="1" applyAlignment="1">
      <alignment horizontal="center" vertical="center"/>
    </xf>
    <xf numFmtId="0" fontId="13" fillId="0" borderId="1" xfId="0" applyFont="1" applyBorder="1" applyAlignment="1">
      <alignment vertical="top" wrapText="1"/>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Border="1"/>
    <xf numFmtId="0" fontId="6" fillId="2" borderId="1" xfId="0" applyFont="1" applyFill="1" applyBorder="1" applyAlignment="1">
      <alignment horizontal="center" vertical="center"/>
    </xf>
    <xf numFmtId="0" fontId="14" fillId="0" borderId="1" xfId="0" applyFont="1" applyBorder="1" applyAlignment="1">
      <alignment vertical="top" wrapText="1"/>
    </xf>
    <xf numFmtId="0" fontId="16" fillId="0" borderId="1" xfId="0" applyFont="1" applyBorder="1" applyAlignment="1">
      <alignment horizontal="center" vertical="center"/>
    </xf>
    <xf numFmtId="0" fontId="17" fillId="0" borderId="0" xfId="0" applyFont="1"/>
    <xf numFmtId="0" fontId="18" fillId="5" borderId="1" xfId="0" applyFont="1" applyFill="1" applyBorder="1" applyAlignment="1">
      <alignment horizontal="center" vertical="center" wrapText="1"/>
    </xf>
    <xf numFmtId="0" fontId="19" fillId="0" borderId="1" xfId="0" applyFont="1" applyBorder="1" applyAlignment="1">
      <alignment vertical="top" wrapText="1"/>
    </xf>
    <xf numFmtId="9" fontId="0" fillId="0" borderId="1" xfId="0" applyNumberFormat="1" applyBorder="1" applyAlignment="1">
      <alignment horizontal="center" vertical="center"/>
    </xf>
    <xf numFmtId="0" fontId="20" fillId="0" borderId="1" xfId="0" applyFont="1" applyBorder="1"/>
    <xf numFmtId="0" fontId="12" fillId="0" borderId="1" xfId="0" applyFont="1" applyBorder="1" applyAlignment="1">
      <alignment horizontal="center" vertical="center"/>
    </xf>
    <xf numFmtId="10" fontId="12" fillId="0" borderId="1" xfId="0" applyNumberFormat="1" applyFont="1" applyBorder="1" applyAlignment="1">
      <alignment horizontal="center" vertical="center"/>
    </xf>
    <xf numFmtId="164" fontId="12" fillId="0" borderId="1" xfId="0" applyNumberFormat="1" applyFont="1" applyBorder="1" applyAlignment="1">
      <alignment horizontal="center" vertical="center"/>
    </xf>
    <xf numFmtId="0" fontId="21" fillId="0" borderId="1" xfId="0" applyFont="1" applyBorder="1"/>
    <xf numFmtId="0" fontId="22" fillId="0" borderId="1" xfId="0" applyFont="1" applyBorder="1"/>
    <xf numFmtId="0" fontId="5" fillId="0" borderId="1" xfId="0" applyFont="1" applyBorder="1"/>
    <xf numFmtId="10" fontId="0" fillId="0" borderId="1" xfId="0" applyNumberFormat="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1" fontId="23" fillId="0" borderId="1" xfId="0" applyNumberFormat="1" applyFont="1" applyBorder="1" applyAlignment="1">
      <alignment horizontal="center" vertical="center"/>
    </xf>
    <xf numFmtId="2" fontId="24"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0" fillId="4" borderId="1" xfId="0" applyFont="1" applyFill="1" applyBorder="1"/>
    <xf numFmtId="0" fontId="25" fillId="0" borderId="0" xfId="0" applyFont="1"/>
    <xf numFmtId="0" fontId="1" fillId="0" borderId="0" xfId="0" applyFont="1"/>
    <xf numFmtId="0" fontId="0" fillId="0" borderId="0" xfId="0"/>
    <xf numFmtId="0" fontId="17" fillId="0" borderId="0" xfId="0" applyFont="1"/>
    <xf numFmtId="0" fontId="7" fillId="0" borderId="0" xfId="0" applyFont="1" applyAlignment="1">
      <alignment vertical="top" wrapText="1"/>
    </xf>
    <xf numFmtId="0" fontId="7" fillId="0" borderId="0" xfId="0" applyFont="1"/>
    <xf numFmtId="0" fontId="27" fillId="6" borderId="1" xfId="0" applyFont="1" applyFill="1" applyBorder="1" applyAlignment="1">
      <alignment horizontal="center" vertical="center"/>
    </xf>
    <xf numFmtId="0" fontId="0" fillId="0" borderId="3" xfId="0" applyBorder="1"/>
    <xf numFmtId="0" fontId="0" fillId="0" borderId="2" xfId="0" applyBorder="1"/>
    <xf numFmtId="0" fontId="29" fillId="0" borderId="1" xfId="0" applyFont="1" applyBorder="1" applyAlignment="1">
      <alignment horizontal="center" vertical="center"/>
    </xf>
    <xf numFmtId="0" fontId="27" fillId="4" borderId="1" xfId="0" applyFont="1" applyFill="1" applyBorder="1" applyAlignment="1">
      <alignment horizontal="center" vertical="center"/>
    </xf>
    <xf numFmtId="0" fontId="28" fillId="0" borderId="0" xfId="0" applyFont="1"/>
    <xf numFmtId="2" fontId="0" fillId="0" borderId="1" xfId="0" applyNumberFormat="1" applyBorder="1" applyAlignment="1">
      <alignment horizontal="center" vertical="center"/>
    </xf>
    <xf numFmtId="165" fontId="26" fillId="0" borderId="1" xfId="0" applyNumberFormat="1" applyFont="1" applyBorder="1" applyAlignment="1">
      <alignment horizontal="center" vertical="center"/>
    </xf>
    <xf numFmtId="0" fontId="10" fillId="4" borderId="1" xfId="0" applyFont="1" applyFill="1" applyBorder="1"/>
    <xf numFmtId="0" fontId="15" fillId="0" borderId="0" xfId="0" applyFont="1"/>
    <xf numFmtId="0" fontId="2" fillId="0" borderId="0" xfId="0" applyFont="1"/>
    <xf numFmtId="0" fontId="4" fillId="0" borderId="0" xfId="0" applyFont="1"/>
    <xf numFmtId="0" fontId="5" fillId="0" borderId="0" xfId="0" applyFont="1"/>
  </cellXfs>
  <cellStyles count="1">
    <cellStyle name="Normal" xfId="0" builtinId="0"/>
  </cellStyles>
  <dxfs count="8">
    <dxf>
      <fill>
        <patternFill patternType="solid">
          <fgColor rgb="FFC0392B"/>
        </patternFill>
      </fill>
    </dxf>
    <dxf>
      <fill>
        <patternFill patternType="solid">
          <fgColor rgb="FFF5B7B1"/>
        </patternFill>
      </fill>
    </dxf>
    <dxf>
      <fill>
        <patternFill patternType="solid">
          <fgColor rgb="FFD4AC0D"/>
        </patternFill>
      </fill>
    </dxf>
    <dxf>
      <fill>
        <patternFill patternType="solid">
          <fgColor rgb="FFF5B7B1"/>
        </patternFill>
      </fill>
    </dxf>
    <dxf>
      <fill>
        <patternFill patternType="solid">
          <fgColor rgb="FFFCF3CF"/>
        </patternFill>
      </fill>
    </dxf>
    <dxf>
      <fill>
        <patternFill patternType="solid">
          <fgColor rgb="FFD6EAF8"/>
        </patternFill>
      </fill>
    </dxf>
    <dxf>
      <fill>
        <patternFill patternType="solid">
          <fgColor rgb="FFC6F6D5"/>
        </patternFill>
      </fill>
    </dxf>
    <dxf>
      <fill>
        <patternFill patternType="solid">
          <fgColor rgb="FFF3F4F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28090"/>
  </sheetPr>
  <dimension ref="B2:B30"/>
  <sheetViews>
    <sheetView showGridLines="0" workbookViewId="0"/>
  </sheetViews>
  <sheetFormatPr baseColWidth="10" defaultColWidth="8.83203125" defaultRowHeight="15" x14ac:dyDescent="0.2"/>
  <cols>
    <col min="1" max="1" width="3" customWidth="1"/>
    <col min="2" max="2" width="100" customWidth="1"/>
  </cols>
  <sheetData>
    <row r="2" spans="2:2" ht="21" x14ac:dyDescent="0.25">
      <c r="B2" s="1" t="s">
        <v>11</v>
      </c>
    </row>
    <row r="3" spans="2:2" x14ac:dyDescent="0.2">
      <c r="B3" s="2" t="s">
        <v>12</v>
      </c>
    </row>
    <row r="5" spans="2:2" x14ac:dyDescent="0.2">
      <c r="B5" s="3"/>
    </row>
    <row r="6" spans="2:2" ht="18" customHeight="1" x14ac:dyDescent="0.2">
      <c r="B6" s="4" t="s">
        <v>13</v>
      </c>
    </row>
    <row r="7" spans="2:2" ht="30" customHeight="1" x14ac:dyDescent="0.2">
      <c r="B7" s="3" t="s">
        <v>14</v>
      </c>
    </row>
    <row r="8" spans="2:2" ht="30" customHeight="1" x14ac:dyDescent="0.2">
      <c r="B8" s="3" t="s">
        <v>15</v>
      </c>
    </row>
    <row r="9" spans="2:2" ht="30" customHeight="1" x14ac:dyDescent="0.2">
      <c r="B9" s="3" t="s">
        <v>16</v>
      </c>
    </row>
    <row r="10" spans="2:2" ht="30" customHeight="1" x14ac:dyDescent="0.2">
      <c r="B10" s="3" t="s">
        <v>17</v>
      </c>
    </row>
    <row r="11" spans="2:2" ht="30" customHeight="1" x14ac:dyDescent="0.2">
      <c r="B11" s="3" t="s">
        <v>18</v>
      </c>
    </row>
    <row r="12" spans="2:2" ht="30" customHeight="1" x14ac:dyDescent="0.2">
      <c r="B12" s="3" t="s">
        <v>19</v>
      </c>
    </row>
    <row r="13" spans="2:2" ht="30" customHeight="1" x14ac:dyDescent="0.2">
      <c r="B13" s="3" t="s">
        <v>20</v>
      </c>
    </row>
    <row r="14" spans="2:2" x14ac:dyDescent="0.2">
      <c r="B14" s="3"/>
    </row>
    <row r="15" spans="2:2" ht="18" customHeight="1" x14ac:dyDescent="0.2">
      <c r="B15" s="4" t="s">
        <v>21</v>
      </c>
    </row>
    <row r="16" spans="2:2" ht="30" customHeight="1" x14ac:dyDescent="0.2">
      <c r="B16" s="3" t="s">
        <v>22</v>
      </c>
    </row>
    <row r="17" spans="2:2" ht="30" customHeight="1" x14ac:dyDescent="0.2">
      <c r="B17" s="3" t="s">
        <v>23</v>
      </c>
    </row>
    <row r="18" spans="2:2" ht="30" customHeight="1" x14ac:dyDescent="0.2">
      <c r="B18" s="3" t="s">
        <v>24</v>
      </c>
    </row>
    <row r="19" spans="2:2" ht="30" customHeight="1" x14ac:dyDescent="0.2">
      <c r="B19" s="3" t="s">
        <v>25</v>
      </c>
    </row>
    <row r="20" spans="2:2" ht="30" customHeight="1" x14ac:dyDescent="0.2">
      <c r="B20" s="3" t="s">
        <v>26</v>
      </c>
    </row>
    <row r="21" spans="2:2" x14ac:dyDescent="0.2">
      <c r="B21" s="3"/>
    </row>
    <row r="22" spans="2:2" ht="18" customHeight="1" x14ac:dyDescent="0.2">
      <c r="B22" s="4" t="s">
        <v>27</v>
      </c>
    </row>
    <row r="23" spans="2:2" ht="30" customHeight="1" x14ac:dyDescent="0.2">
      <c r="B23" s="3" t="s">
        <v>28</v>
      </c>
    </row>
    <row r="24" spans="2:2" x14ac:dyDescent="0.2">
      <c r="B24" s="3"/>
    </row>
    <row r="25" spans="2:2" ht="18" customHeight="1" x14ac:dyDescent="0.2">
      <c r="B25" s="4" t="s">
        <v>29</v>
      </c>
    </row>
    <row r="26" spans="2:2" ht="30" customHeight="1" x14ac:dyDescent="0.2">
      <c r="B26" s="3" t="s">
        <v>30</v>
      </c>
    </row>
    <row r="27" spans="2:2" ht="30" customHeight="1" x14ac:dyDescent="0.2">
      <c r="B27" s="3" t="s">
        <v>31</v>
      </c>
    </row>
    <row r="28" spans="2:2" ht="30" customHeight="1" x14ac:dyDescent="0.2">
      <c r="B28" s="3" t="s">
        <v>32</v>
      </c>
    </row>
    <row r="29" spans="2:2" ht="30" customHeight="1" x14ac:dyDescent="0.2">
      <c r="B29" s="3" t="s">
        <v>33</v>
      </c>
    </row>
    <row r="30" spans="2:2" ht="30" customHeight="1" x14ac:dyDescent="0.2">
      <c r="B30" s="3"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300"/>
  </sheetPr>
  <dimension ref="B2:E11"/>
  <sheetViews>
    <sheetView showGridLines="0" zoomScale="159" workbookViewId="0">
      <selection activeCell="B5" sqref="B5"/>
    </sheetView>
  </sheetViews>
  <sheetFormatPr baseColWidth="10" defaultColWidth="8.83203125" defaultRowHeight="15" x14ac:dyDescent="0.2"/>
  <cols>
    <col min="1" max="1" width="3" customWidth="1"/>
    <col min="2" max="2" width="34" customWidth="1"/>
    <col min="3" max="3" width="40" customWidth="1"/>
    <col min="4" max="4" width="3" customWidth="1"/>
    <col min="5" max="5" width="55" customWidth="1"/>
  </cols>
  <sheetData>
    <row r="2" spans="2:5" ht="21" x14ac:dyDescent="0.25">
      <c r="B2" s="39" t="s">
        <v>0</v>
      </c>
      <c r="C2" s="40"/>
    </row>
    <row r="4" spans="2:5" x14ac:dyDescent="0.2">
      <c r="B4" s="5" t="s">
        <v>1</v>
      </c>
      <c r="C4" s="6"/>
    </row>
    <row r="5" spans="2:5" x14ac:dyDescent="0.2">
      <c r="B5" s="5" t="s">
        <v>2</v>
      </c>
      <c r="C5" s="6"/>
    </row>
    <row r="6" spans="2:5" x14ac:dyDescent="0.2">
      <c r="B6" s="5" t="s">
        <v>3</v>
      </c>
      <c r="C6" s="6"/>
    </row>
    <row r="7" spans="2:5" x14ac:dyDescent="0.2">
      <c r="B7" s="5" t="s">
        <v>4</v>
      </c>
      <c r="C7" s="6"/>
    </row>
    <row r="8" spans="2:5" x14ac:dyDescent="0.2">
      <c r="B8" s="5" t="s">
        <v>5</v>
      </c>
      <c r="C8" s="6" t="s">
        <v>6</v>
      </c>
    </row>
    <row r="9" spans="2:5" ht="39" x14ac:dyDescent="0.2">
      <c r="B9" s="5" t="s">
        <v>7</v>
      </c>
      <c r="C9" s="6" t="s">
        <v>301</v>
      </c>
      <c r="E9" s="7" t="s">
        <v>8</v>
      </c>
    </row>
    <row r="11" spans="2:5" ht="26" x14ac:dyDescent="0.2">
      <c r="B11" s="8" t="s">
        <v>9</v>
      </c>
      <c r="C11" s="9" t="str">
        <f>IF(C8="IUP","IUP",IF(C9="Konsultasi &amp; Perencanaan","IUJP-KONSULTASI",IF(C9="Operasional Alat Berat &amp; Hauling","IUJP-OPERASIONAL",IF(C9="Pengeboran &amp; Peledakan","IUJP-DRILLING",IF(C9="Pengolahan &amp; Pemurnian","IUJP-PENGOLAHAN",IF(C9="Jasa Penunjang","IUJP-PENUNJANG","BELUM DIPILIH"))))))</f>
        <v>IUP</v>
      </c>
      <c r="E11" s="7" t="s">
        <v>10</v>
      </c>
    </row>
  </sheetData>
  <mergeCells count="1">
    <mergeCell ref="B2:C2"/>
  </mergeCells>
  <dataValidations count="2">
    <dataValidation type="list" sqref="C8" xr:uid="{00000000-0002-0000-0100-000000000000}">
      <formula1>"IUP,IUJP"</formula1>
    </dataValidation>
    <dataValidation type="list" allowBlank="1" sqref="C9" xr:uid="{00000000-0002-0000-0100-000001000000}">
      <formula1>"Konsultasi &amp; Perencanaan,Operasional Alat Berat &amp; Hauling,Pengeboran &amp; Peledakan,Pengolahan &amp; Pemurnian,Jasa Penunjang"</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28090"/>
  </sheetPr>
  <dimension ref="B2:G11"/>
  <sheetViews>
    <sheetView showGridLines="0" zoomScale="132" workbookViewId="0">
      <selection activeCell="D14" sqref="D14"/>
    </sheetView>
  </sheetViews>
  <sheetFormatPr baseColWidth="10" defaultColWidth="8.83203125" defaultRowHeight="15" x14ac:dyDescent="0.2"/>
  <cols>
    <col min="1" max="1" width="3" customWidth="1"/>
    <col min="2" max="2" width="22" customWidth="1"/>
    <col min="3" max="5" width="14" customWidth="1"/>
    <col min="6" max="6" width="45" customWidth="1"/>
    <col min="7" max="7" width="10" customWidth="1"/>
  </cols>
  <sheetData>
    <row r="2" spans="2:7" ht="21" x14ac:dyDescent="0.25">
      <c r="B2" s="1" t="s">
        <v>35</v>
      </c>
    </row>
    <row r="3" spans="2:7" x14ac:dyDescent="0.2">
      <c r="B3" s="2" t="s">
        <v>36</v>
      </c>
    </row>
    <row r="5" spans="2:7" ht="16" x14ac:dyDescent="0.2">
      <c r="B5" s="10" t="s">
        <v>37</v>
      </c>
      <c r="C5" s="10" t="s">
        <v>38</v>
      </c>
      <c r="D5" s="10" t="s">
        <v>39</v>
      </c>
      <c r="E5" s="10" t="s">
        <v>40</v>
      </c>
      <c r="F5" s="10" t="s">
        <v>41</v>
      </c>
      <c r="G5" s="10" t="s">
        <v>42</v>
      </c>
    </row>
    <row r="6" spans="2:7" ht="30" x14ac:dyDescent="0.2">
      <c r="B6" s="11" t="s">
        <v>6</v>
      </c>
      <c r="C6" s="12">
        <v>0.35</v>
      </c>
      <c r="D6" s="12">
        <v>0.4</v>
      </c>
      <c r="E6" s="12">
        <v>0.25</v>
      </c>
      <c r="F6" s="13" t="s">
        <v>43</v>
      </c>
      <c r="G6" s="12">
        <f t="shared" ref="G6:G11" si="0">C6+D6+E6</f>
        <v>1</v>
      </c>
    </row>
    <row r="7" spans="2:7" ht="30" x14ac:dyDescent="0.2">
      <c r="B7" s="11" t="s">
        <v>44</v>
      </c>
      <c r="C7" s="12">
        <v>0.1</v>
      </c>
      <c r="D7" s="12">
        <v>0.5</v>
      </c>
      <c r="E7" s="12">
        <v>0.4</v>
      </c>
      <c r="F7" s="13" t="s">
        <v>45</v>
      </c>
      <c r="G7" s="12">
        <f t="shared" si="0"/>
        <v>1</v>
      </c>
    </row>
    <row r="8" spans="2:7" x14ac:dyDescent="0.2">
      <c r="B8" s="11" t="s">
        <v>46</v>
      </c>
      <c r="C8" s="12">
        <v>0.25</v>
      </c>
      <c r="D8" s="12">
        <v>0.45</v>
      </c>
      <c r="E8" s="12">
        <v>0.3</v>
      </c>
      <c r="F8" s="13" t="s">
        <v>47</v>
      </c>
      <c r="G8" s="12">
        <f t="shared" si="0"/>
        <v>1</v>
      </c>
    </row>
    <row r="9" spans="2:7" ht="30" x14ac:dyDescent="0.2">
      <c r="B9" s="11" t="s">
        <v>48</v>
      </c>
      <c r="C9" s="12">
        <v>0.25</v>
      </c>
      <c r="D9" s="12">
        <v>0.45</v>
      </c>
      <c r="E9" s="12">
        <v>0.3</v>
      </c>
      <c r="F9" s="13" t="s">
        <v>49</v>
      </c>
      <c r="G9" s="12">
        <f t="shared" si="0"/>
        <v>1</v>
      </c>
    </row>
    <row r="10" spans="2:7" ht="30" x14ac:dyDescent="0.2">
      <c r="B10" s="11" t="s">
        <v>50</v>
      </c>
      <c r="C10" s="12">
        <v>0.3</v>
      </c>
      <c r="D10" s="12">
        <v>0.4</v>
      </c>
      <c r="E10" s="12">
        <v>0.3</v>
      </c>
      <c r="F10" s="13" t="s">
        <v>51</v>
      </c>
      <c r="G10" s="12">
        <f t="shared" si="0"/>
        <v>1</v>
      </c>
    </row>
    <row r="11" spans="2:7" ht="30" x14ac:dyDescent="0.2">
      <c r="B11" s="11" t="s">
        <v>52</v>
      </c>
      <c r="C11" s="12">
        <v>0.1</v>
      </c>
      <c r="D11" s="12">
        <v>0.55000000000000004</v>
      </c>
      <c r="E11" s="12">
        <v>0.35</v>
      </c>
      <c r="F11" s="13" t="s">
        <v>53</v>
      </c>
      <c r="G11" s="12">
        <f t="shared" si="0"/>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090"/>
  </sheetPr>
  <dimension ref="B2:D17"/>
  <sheetViews>
    <sheetView showGridLines="0" workbookViewId="0">
      <selection activeCell="D21" sqref="D21"/>
    </sheetView>
  </sheetViews>
  <sheetFormatPr baseColWidth="10" defaultColWidth="8.83203125" defaultRowHeight="15" x14ac:dyDescent="0.2"/>
  <cols>
    <col min="1" max="1" width="3" customWidth="1"/>
    <col min="2" max="2" width="16" customWidth="1"/>
    <col min="3" max="3" width="26" customWidth="1"/>
    <col min="4" max="4" width="70" customWidth="1"/>
  </cols>
  <sheetData>
    <row r="2" spans="2:4" ht="21" x14ac:dyDescent="0.25">
      <c r="B2" s="1" t="s">
        <v>54</v>
      </c>
    </row>
    <row r="4" spans="2:4" ht="16" x14ac:dyDescent="0.2">
      <c r="B4" s="10" t="s">
        <v>55</v>
      </c>
      <c r="C4" s="10" t="s">
        <v>56</v>
      </c>
      <c r="D4" s="10" t="s">
        <v>57</v>
      </c>
    </row>
    <row r="5" spans="2:4" ht="28" customHeight="1" x14ac:dyDescent="0.2">
      <c r="B5" s="14">
        <v>0</v>
      </c>
      <c r="C5" s="11" t="s">
        <v>58</v>
      </c>
      <c r="D5" s="15" t="s">
        <v>59</v>
      </c>
    </row>
    <row r="6" spans="2:4" ht="28" customHeight="1" x14ac:dyDescent="0.2">
      <c r="B6" s="14">
        <v>1</v>
      </c>
      <c r="C6" s="11" t="s">
        <v>60</v>
      </c>
      <c r="D6" s="15" t="s">
        <v>61</v>
      </c>
    </row>
    <row r="7" spans="2:4" ht="28" customHeight="1" x14ac:dyDescent="0.2">
      <c r="B7" s="14">
        <v>2</v>
      </c>
      <c r="C7" s="11" t="s">
        <v>62</v>
      </c>
      <c r="D7" s="15" t="s">
        <v>63</v>
      </c>
    </row>
    <row r="8" spans="2:4" ht="28" customHeight="1" x14ac:dyDescent="0.2">
      <c r="B8" s="14">
        <v>3</v>
      </c>
      <c r="C8" s="11" t="s">
        <v>64</v>
      </c>
      <c r="D8" s="15" t="s">
        <v>65</v>
      </c>
    </row>
    <row r="9" spans="2:4" ht="28" customHeight="1" x14ac:dyDescent="0.2">
      <c r="B9" s="14">
        <v>4</v>
      </c>
      <c r="C9" s="11" t="s">
        <v>66</v>
      </c>
      <c r="D9" s="15" t="s">
        <v>67</v>
      </c>
    </row>
    <row r="10" spans="2:4" ht="28" customHeight="1" x14ac:dyDescent="0.2">
      <c r="B10" s="14">
        <v>5</v>
      </c>
      <c r="C10" s="11" t="s">
        <v>68</v>
      </c>
      <c r="D10" s="15" t="s">
        <v>69</v>
      </c>
    </row>
    <row r="13" spans="2:4" x14ac:dyDescent="0.2">
      <c r="B13" s="5" t="s">
        <v>70</v>
      </c>
    </row>
    <row r="14" spans="2:4" x14ac:dyDescent="0.2">
      <c r="B14" s="16" t="s">
        <v>71</v>
      </c>
      <c r="C14" s="11" t="s">
        <v>72</v>
      </c>
    </row>
    <row r="15" spans="2:4" x14ac:dyDescent="0.2">
      <c r="B15" s="16" t="s">
        <v>73</v>
      </c>
      <c r="C15" s="11" t="s">
        <v>74</v>
      </c>
    </row>
    <row r="16" spans="2:4" x14ac:dyDescent="0.2">
      <c r="B16" s="16" t="s">
        <v>75</v>
      </c>
      <c r="C16" s="11" t="s">
        <v>64</v>
      </c>
    </row>
    <row r="17" spans="2:3" x14ac:dyDescent="0.2">
      <c r="B17" s="16" t="s">
        <v>76</v>
      </c>
      <c r="C17" s="11" t="s">
        <v>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2761"/>
  </sheetPr>
  <dimension ref="B2:M55"/>
  <sheetViews>
    <sheetView showGridLines="0" tabSelected="1" zoomScale="144" workbookViewId="0">
      <pane xSplit="2" ySplit="6" topLeftCell="D7" activePane="bottomRight" state="frozen"/>
      <selection pane="topRight"/>
      <selection pane="bottomLeft"/>
      <selection pane="bottomRight" activeCell="L23" sqref="L23"/>
    </sheetView>
  </sheetViews>
  <sheetFormatPr baseColWidth="10" defaultColWidth="8.83203125" defaultRowHeight="15" x14ac:dyDescent="0.2"/>
  <cols>
    <col min="1" max="1" width="3" customWidth="1"/>
    <col min="2" max="2" width="6" customWidth="1"/>
    <col min="3" max="3" width="13" customWidth="1"/>
    <col min="4" max="4" width="22" customWidth="1"/>
    <col min="5" max="5" width="8" customWidth="1"/>
    <col min="6" max="6" width="34" customWidth="1"/>
    <col min="7" max="7" width="30" customWidth="1"/>
    <col min="8" max="8" width="22" customWidth="1"/>
    <col min="9" max="10" width="9" customWidth="1"/>
    <col min="11" max="11" width="8" customWidth="1"/>
    <col min="12" max="12" width="11" customWidth="1"/>
    <col min="13" max="13" width="10" customWidth="1"/>
  </cols>
  <sheetData>
    <row r="2" spans="2:13" ht="21" x14ac:dyDescent="0.25">
      <c r="B2" s="39" t="s">
        <v>77</v>
      </c>
      <c r="C2" s="40"/>
      <c r="D2" s="40"/>
      <c r="E2" s="40"/>
      <c r="F2" s="40"/>
      <c r="G2" s="40"/>
      <c r="H2" s="40"/>
    </row>
    <row r="3" spans="2:13" x14ac:dyDescent="0.2">
      <c r="B3" s="41" t="str">
        <f>"Profil Peserta Aktif:  " &amp; 'Profil Peserta'!$C$11</f>
        <v>Profil Peserta Aktif:  IUP</v>
      </c>
      <c r="C3" s="40"/>
      <c r="D3" s="40"/>
      <c r="E3" s="40"/>
      <c r="F3" s="40"/>
      <c r="G3" s="40"/>
      <c r="H3" s="40"/>
    </row>
    <row r="6" spans="2:13" ht="32" customHeight="1" x14ac:dyDescent="0.2">
      <c r="B6" s="21" t="s">
        <v>78</v>
      </c>
      <c r="C6" s="21" t="s">
        <v>79</v>
      </c>
      <c r="D6" s="21" t="s">
        <v>80</v>
      </c>
      <c r="E6" s="21" t="s">
        <v>81</v>
      </c>
      <c r="F6" s="21" t="s">
        <v>82</v>
      </c>
      <c r="G6" s="21" t="s">
        <v>83</v>
      </c>
      <c r="H6" s="21" t="s">
        <v>84</v>
      </c>
      <c r="I6" s="21" t="s">
        <v>85</v>
      </c>
      <c r="J6" s="21" t="s">
        <v>86</v>
      </c>
      <c r="K6" s="21" t="s">
        <v>87</v>
      </c>
      <c r="L6" s="21" t="s">
        <v>88</v>
      </c>
      <c r="M6" s="21" t="s">
        <v>89</v>
      </c>
    </row>
    <row r="7" spans="2:13" ht="32" x14ac:dyDescent="0.2">
      <c r="B7" s="14">
        <v>1</v>
      </c>
      <c r="C7" s="24" t="s">
        <v>38</v>
      </c>
      <c r="D7" s="16" t="s">
        <v>90</v>
      </c>
      <c r="E7" s="14" t="s">
        <v>91</v>
      </c>
      <c r="F7" s="15" t="s">
        <v>92</v>
      </c>
      <c r="G7" s="15" t="s">
        <v>93</v>
      </c>
      <c r="H7" s="22" t="s">
        <v>6</v>
      </c>
      <c r="I7" s="23">
        <v>0.02</v>
      </c>
      <c r="J7" s="17">
        <v>5</v>
      </c>
      <c r="K7" s="25">
        <f>IF(ISNUMBER(SEARCH(","&amp;'Profil Peserta'!$C$11&amp;",", ","&amp;H7&amp;",")),1,0)</f>
        <v>1</v>
      </c>
      <c r="L7" s="26">
        <f>IF(K7=0,0,(I7/SUMIFS($I$7:$I$55,$C$7:$C$55,C7,$K$7:$K$55,1))*INDEX('Bobot Kategori'!$C$6:$E$11,MATCH('Profil Peserta'!$C$11,'Bobot Kategori'!$B$6:$B$11,0),MATCH(C7,'Bobot Kategori'!$C$5:$E$5,0)))</f>
        <v>1.7499999999999998E-2</v>
      </c>
      <c r="M7" s="27">
        <f t="shared" ref="M7:M38" si="0">L7*J7</f>
        <v>8.7499999999999994E-2</v>
      </c>
    </row>
    <row r="8" spans="2:13" ht="32" x14ac:dyDescent="0.2">
      <c r="B8" s="14">
        <v>2</v>
      </c>
      <c r="C8" s="24" t="s">
        <v>38</v>
      </c>
      <c r="D8" s="16" t="s">
        <v>90</v>
      </c>
      <c r="E8" s="14" t="s">
        <v>94</v>
      </c>
      <c r="F8" s="15" t="s">
        <v>95</v>
      </c>
      <c r="G8" s="15" t="s">
        <v>96</v>
      </c>
      <c r="H8" s="22" t="s">
        <v>6</v>
      </c>
      <c r="I8" s="23">
        <v>0.03</v>
      </c>
      <c r="J8" s="17">
        <v>5</v>
      </c>
      <c r="K8" s="25">
        <f>IF(ISNUMBER(SEARCH(","&amp;'Profil Peserta'!$C$11&amp;",", ","&amp;H8&amp;",")),1,0)</f>
        <v>1</v>
      </c>
      <c r="L8" s="26">
        <f>IF(K8=0,0,(I8/SUMIFS($I$7:$I$55,$C$7:$C$55,C8,$K$7:$K$55,1))*INDEX('Bobot Kategori'!$C$6:$E$11,MATCH('Profil Peserta'!$C$11,'Bobot Kategori'!$B$6:$B$11,0),MATCH(C8,'Bobot Kategori'!$C$5:$E$5,0)))</f>
        <v>2.6249999999999999E-2</v>
      </c>
      <c r="M8" s="27">
        <f t="shared" si="0"/>
        <v>0.13125000000000001</v>
      </c>
    </row>
    <row r="9" spans="2:13" ht="32" x14ac:dyDescent="0.2">
      <c r="B9" s="14">
        <v>3</v>
      </c>
      <c r="C9" s="24" t="s">
        <v>38</v>
      </c>
      <c r="D9" s="16" t="s">
        <v>90</v>
      </c>
      <c r="E9" s="14" t="s">
        <v>97</v>
      </c>
      <c r="F9" s="15" t="s">
        <v>98</v>
      </c>
      <c r="G9" s="15" t="s">
        <v>99</v>
      </c>
      <c r="H9" s="22" t="s">
        <v>6</v>
      </c>
      <c r="I9" s="23">
        <v>0.03</v>
      </c>
      <c r="J9" s="17">
        <v>5</v>
      </c>
      <c r="K9" s="25">
        <f>IF(ISNUMBER(SEARCH(","&amp;'Profil Peserta'!$C$11&amp;",", ","&amp;H9&amp;",")),1,0)</f>
        <v>1</v>
      </c>
      <c r="L9" s="26">
        <f>IF(K9=0,0,(I9/SUMIFS($I$7:$I$55,$C$7:$C$55,C9,$K$7:$K$55,1))*INDEX('Bobot Kategori'!$C$6:$E$11,MATCH('Profil Peserta'!$C$11,'Bobot Kategori'!$B$6:$B$11,0),MATCH(C9,'Bobot Kategori'!$C$5:$E$5,0)))</f>
        <v>2.6249999999999999E-2</v>
      </c>
      <c r="M9" s="27">
        <f t="shared" si="0"/>
        <v>0.13125000000000001</v>
      </c>
    </row>
    <row r="10" spans="2:13" ht="32" x14ac:dyDescent="0.2">
      <c r="B10" s="14">
        <v>4</v>
      </c>
      <c r="C10" s="24" t="s">
        <v>38</v>
      </c>
      <c r="D10" s="16" t="s">
        <v>90</v>
      </c>
      <c r="E10" s="14" t="s">
        <v>100</v>
      </c>
      <c r="F10" s="15" t="s">
        <v>101</v>
      </c>
      <c r="G10" s="15" t="s">
        <v>102</v>
      </c>
      <c r="H10" s="22" t="s">
        <v>103</v>
      </c>
      <c r="I10" s="23">
        <v>0.03</v>
      </c>
      <c r="J10" s="17">
        <v>5</v>
      </c>
      <c r="K10" s="25">
        <f>IF(ISNUMBER(SEARCH(","&amp;'Profil Peserta'!$C$11&amp;",", ","&amp;H10&amp;",")),1,0)</f>
        <v>1</v>
      </c>
      <c r="L10" s="26">
        <f>IF(K10=0,0,(I10/SUMIFS($I$7:$I$55,$C$7:$C$55,C10,$K$7:$K$55,1))*INDEX('Bobot Kategori'!$C$6:$E$11,MATCH('Profil Peserta'!$C$11,'Bobot Kategori'!$B$6:$B$11,0),MATCH(C10,'Bobot Kategori'!$C$5:$E$5,0)))</f>
        <v>2.6249999999999999E-2</v>
      </c>
      <c r="M10" s="27">
        <f t="shared" si="0"/>
        <v>0.13125000000000001</v>
      </c>
    </row>
    <row r="11" spans="2:13" ht="32" x14ac:dyDescent="0.2">
      <c r="B11" s="14">
        <v>5</v>
      </c>
      <c r="C11" s="24" t="s">
        <v>38</v>
      </c>
      <c r="D11" s="16" t="s">
        <v>90</v>
      </c>
      <c r="E11" s="14" t="s">
        <v>104</v>
      </c>
      <c r="F11" s="15" t="s">
        <v>105</v>
      </c>
      <c r="G11" s="15" t="s">
        <v>106</v>
      </c>
      <c r="H11" s="22" t="s">
        <v>103</v>
      </c>
      <c r="I11" s="23">
        <v>0.02</v>
      </c>
      <c r="J11" s="17">
        <v>5</v>
      </c>
      <c r="K11" s="25">
        <f>IF(ISNUMBER(SEARCH(","&amp;'Profil Peserta'!$C$11&amp;",", ","&amp;H11&amp;",")),1,0)</f>
        <v>1</v>
      </c>
      <c r="L11" s="26">
        <f>IF(K11=0,0,(I11/SUMIFS($I$7:$I$55,$C$7:$C$55,C11,$K$7:$K$55,1))*INDEX('Bobot Kategori'!$C$6:$E$11,MATCH('Profil Peserta'!$C$11,'Bobot Kategori'!$B$6:$B$11,0),MATCH(C11,'Bobot Kategori'!$C$5:$E$5,0)))</f>
        <v>1.7499999999999998E-2</v>
      </c>
      <c r="M11" s="27">
        <f t="shared" si="0"/>
        <v>8.7499999999999994E-2</v>
      </c>
    </row>
    <row r="12" spans="2:13" ht="16" x14ac:dyDescent="0.2">
      <c r="B12" s="14">
        <v>6</v>
      </c>
      <c r="C12" s="24" t="s">
        <v>38</v>
      </c>
      <c r="D12" s="16" t="s">
        <v>90</v>
      </c>
      <c r="E12" s="14" t="s">
        <v>107</v>
      </c>
      <c r="F12" s="15" t="s">
        <v>108</v>
      </c>
      <c r="G12" s="15" t="s">
        <v>109</v>
      </c>
      <c r="H12" s="22" t="s">
        <v>103</v>
      </c>
      <c r="I12" s="23">
        <v>0.02</v>
      </c>
      <c r="J12" s="17">
        <v>5</v>
      </c>
      <c r="K12" s="25">
        <f>IF(ISNUMBER(SEARCH(","&amp;'Profil Peserta'!$C$11&amp;",", ","&amp;H12&amp;",")),1,0)</f>
        <v>1</v>
      </c>
      <c r="L12" s="26">
        <f>IF(K12=0,0,(I12/SUMIFS($I$7:$I$55,$C$7:$C$55,C12,$K$7:$K$55,1))*INDEX('Bobot Kategori'!$C$6:$E$11,MATCH('Profil Peserta'!$C$11,'Bobot Kategori'!$B$6:$B$11,0),MATCH(C12,'Bobot Kategori'!$C$5:$E$5,0)))</f>
        <v>1.7499999999999998E-2</v>
      </c>
      <c r="M12" s="27">
        <f t="shared" si="0"/>
        <v>8.7499999999999994E-2</v>
      </c>
    </row>
    <row r="13" spans="2:13" ht="32" x14ac:dyDescent="0.2">
      <c r="B13" s="14">
        <v>7</v>
      </c>
      <c r="C13" s="24" t="s">
        <v>38</v>
      </c>
      <c r="D13" s="16" t="s">
        <v>110</v>
      </c>
      <c r="E13" s="14" t="s">
        <v>111</v>
      </c>
      <c r="F13" s="15" t="s">
        <v>112</v>
      </c>
      <c r="G13" s="15" t="s">
        <v>113</v>
      </c>
      <c r="H13" s="22" t="s">
        <v>6</v>
      </c>
      <c r="I13" s="23">
        <v>0.02</v>
      </c>
      <c r="J13" s="17">
        <v>5</v>
      </c>
      <c r="K13" s="25">
        <f>IF(ISNUMBER(SEARCH(","&amp;'Profil Peserta'!$C$11&amp;",", ","&amp;H13&amp;",")),1,0)</f>
        <v>1</v>
      </c>
      <c r="L13" s="26">
        <f>IF(K13=0,0,(I13/SUMIFS($I$7:$I$55,$C$7:$C$55,C13,$K$7:$K$55,1))*INDEX('Bobot Kategori'!$C$6:$E$11,MATCH('Profil Peserta'!$C$11,'Bobot Kategori'!$B$6:$B$11,0),MATCH(C13,'Bobot Kategori'!$C$5:$E$5,0)))</f>
        <v>1.7499999999999998E-2</v>
      </c>
      <c r="M13" s="27">
        <f t="shared" si="0"/>
        <v>8.7499999999999994E-2</v>
      </c>
    </row>
    <row r="14" spans="2:13" ht="32" x14ac:dyDescent="0.2">
      <c r="B14" s="14">
        <v>8</v>
      </c>
      <c r="C14" s="24" t="s">
        <v>38</v>
      </c>
      <c r="D14" s="16" t="s">
        <v>110</v>
      </c>
      <c r="E14" s="14" t="s">
        <v>114</v>
      </c>
      <c r="F14" s="15" t="s">
        <v>115</v>
      </c>
      <c r="G14" s="15" t="s">
        <v>116</v>
      </c>
      <c r="H14" s="22" t="s">
        <v>6</v>
      </c>
      <c r="I14" s="23">
        <v>0.02</v>
      </c>
      <c r="J14" s="17">
        <v>5</v>
      </c>
      <c r="K14" s="25">
        <f>IF(ISNUMBER(SEARCH(","&amp;'Profil Peserta'!$C$11&amp;",", ","&amp;H14&amp;",")),1,0)</f>
        <v>1</v>
      </c>
      <c r="L14" s="26">
        <f>IF(K14=0,0,(I14/SUMIFS($I$7:$I$55,$C$7:$C$55,C14,$K$7:$K$55,1))*INDEX('Bobot Kategori'!$C$6:$E$11,MATCH('Profil Peserta'!$C$11,'Bobot Kategori'!$B$6:$B$11,0),MATCH(C14,'Bobot Kategori'!$C$5:$E$5,0)))</f>
        <v>1.7499999999999998E-2</v>
      </c>
      <c r="M14" s="27">
        <f t="shared" si="0"/>
        <v>8.7499999999999994E-2</v>
      </c>
    </row>
    <row r="15" spans="2:13" ht="36" x14ac:dyDescent="0.2">
      <c r="B15" s="14">
        <v>9</v>
      </c>
      <c r="C15" s="24" t="s">
        <v>38</v>
      </c>
      <c r="D15" s="16" t="s">
        <v>110</v>
      </c>
      <c r="E15" s="14" t="s">
        <v>117</v>
      </c>
      <c r="F15" s="15" t="s">
        <v>118</v>
      </c>
      <c r="G15" s="15" t="s">
        <v>119</v>
      </c>
      <c r="H15" s="22" t="s">
        <v>120</v>
      </c>
      <c r="I15" s="23">
        <v>0.03</v>
      </c>
      <c r="J15" s="17">
        <v>5</v>
      </c>
      <c r="K15" s="25">
        <f>IF(ISNUMBER(SEARCH(","&amp;'Profil Peserta'!$C$11&amp;",", ","&amp;H15&amp;",")),1,0)</f>
        <v>1</v>
      </c>
      <c r="L15" s="26">
        <f>IF(K15=0,0,(I15/SUMIFS($I$7:$I$55,$C$7:$C$55,C15,$K$7:$K$55,1))*INDEX('Bobot Kategori'!$C$6:$E$11,MATCH('Profil Peserta'!$C$11,'Bobot Kategori'!$B$6:$B$11,0),MATCH(C15,'Bobot Kategori'!$C$5:$E$5,0)))</f>
        <v>2.6249999999999999E-2</v>
      </c>
      <c r="M15" s="27">
        <f t="shared" si="0"/>
        <v>0.13125000000000001</v>
      </c>
    </row>
    <row r="16" spans="2:13" ht="32" x14ac:dyDescent="0.2">
      <c r="B16" s="14">
        <v>10</v>
      </c>
      <c r="C16" s="24" t="s">
        <v>38</v>
      </c>
      <c r="D16" s="16" t="s">
        <v>110</v>
      </c>
      <c r="E16" s="14" t="s">
        <v>121</v>
      </c>
      <c r="F16" s="15" t="s">
        <v>122</v>
      </c>
      <c r="G16" s="15" t="s">
        <v>123</v>
      </c>
      <c r="H16" s="22" t="s">
        <v>6</v>
      </c>
      <c r="I16" s="23">
        <v>0.02</v>
      </c>
      <c r="J16" s="17">
        <v>5</v>
      </c>
      <c r="K16" s="25">
        <f>IF(ISNUMBER(SEARCH(","&amp;'Profil Peserta'!$C$11&amp;",", ","&amp;H16&amp;",")),1,0)</f>
        <v>1</v>
      </c>
      <c r="L16" s="26">
        <f>IF(K16=0,0,(I16/SUMIFS($I$7:$I$55,$C$7:$C$55,C16,$K$7:$K$55,1))*INDEX('Bobot Kategori'!$C$6:$E$11,MATCH('Profil Peserta'!$C$11,'Bobot Kategori'!$B$6:$B$11,0),MATCH(C16,'Bobot Kategori'!$C$5:$E$5,0)))</f>
        <v>1.7499999999999998E-2</v>
      </c>
      <c r="M16" s="27">
        <f t="shared" si="0"/>
        <v>8.7499999999999994E-2</v>
      </c>
    </row>
    <row r="17" spans="2:13" ht="16" x14ac:dyDescent="0.2">
      <c r="B17" s="14">
        <v>11</v>
      </c>
      <c r="C17" s="24" t="s">
        <v>38</v>
      </c>
      <c r="D17" s="16" t="s">
        <v>110</v>
      </c>
      <c r="E17" s="14" t="s">
        <v>124</v>
      </c>
      <c r="F17" s="15" t="s">
        <v>125</v>
      </c>
      <c r="G17" s="15" t="s">
        <v>126</v>
      </c>
      <c r="H17" s="22" t="s">
        <v>6</v>
      </c>
      <c r="I17" s="23">
        <v>0.02</v>
      </c>
      <c r="J17" s="17">
        <v>5</v>
      </c>
      <c r="K17" s="25">
        <f>IF(ISNUMBER(SEARCH(","&amp;'Profil Peserta'!$C$11&amp;",", ","&amp;H17&amp;",")),1,0)</f>
        <v>1</v>
      </c>
      <c r="L17" s="26">
        <f>IF(K17=0,0,(I17/SUMIFS($I$7:$I$55,$C$7:$C$55,C17,$K$7:$K$55,1))*INDEX('Bobot Kategori'!$C$6:$E$11,MATCH('Profil Peserta'!$C$11,'Bobot Kategori'!$B$6:$B$11,0),MATCH(C17,'Bobot Kategori'!$C$5:$E$5,0)))</f>
        <v>1.7499999999999998E-2</v>
      </c>
      <c r="M17" s="27">
        <f t="shared" si="0"/>
        <v>8.7499999999999994E-2</v>
      </c>
    </row>
    <row r="18" spans="2:13" ht="36" x14ac:dyDescent="0.2">
      <c r="B18" s="14">
        <v>12</v>
      </c>
      <c r="C18" s="24" t="s">
        <v>38</v>
      </c>
      <c r="D18" s="16" t="s">
        <v>127</v>
      </c>
      <c r="E18" s="14" t="s">
        <v>128</v>
      </c>
      <c r="F18" s="15" t="s">
        <v>129</v>
      </c>
      <c r="G18" s="15" t="s">
        <v>130</v>
      </c>
      <c r="H18" s="22" t="s">
        <v>120</v>
      </c>
      <c r="I18" s="23">
        <v>0.03</v>
      </c>
      <c r="J18" s="17">
        <v>5</v>
      </c>
      <c r="K18" s="25">
        <f>IF(ISNUMBER(SEARCH(","&amp;'Profil Peserta'!$C$11&amp;",", ","&amp;H18&amp;",")),1,0)</f>
        <v>1</v>
      </c>
      <c r="L18" s="26">
        <f>IF(K18=0,0,(I18/SUMIFS($I$7:$I$55,$C$7:$C$55,C18,$K$7:$K$55,1))*INDEX('Bobot Kategori'!$C$6:$E$11,MATCH('Profil Peserta'!$C$11,'Bobot Kategori'!$B$6:$B$11,0),MATCH(C18,'Bobot Kategori'!$C$5:$E$5,0)))</f>
        <v>2.6249999999999999E-2</v>
      </c>
      <c r="M18" s="27">
        <f t="shared" si="0"/>
        <v>0.13125000000000001</v>
      </c>
    </row>
    <row r="19" spans="2:13" ht="36" x14ac:dyDescent="0.2">
      <c r="B19" s="14">
        <v>13</v>
      </c>
      <c r="C19" s="24" t="s">
        <v>38</v>
      </c>
      <c r="D19" s="16" t="s">
        <v>127</v>
      </c>
      <c r="E19" s="14" t="s">
        <v>131</v>
      </c>
      <c r="F19" s="15" t="s">
        <v>132</v>
      </c>
      <c r="G19" s="15" t="s">
        <v>133</v>
      </c>
      <c r="H19" s="22" t="s">
        <v>120</v>
      </c>
      <c r="I19" s="23">
        <v>0.02</v>
      </c>
      <c r="J19" s="17">
        <v>5</v>
      </c>
      <c r="K19" s="25">
        <f>IF(ISNUMBER(SEARCH(","&amp;'Profil Peserta'!$C$11&amp;",", ","&amp;H19&amp;",")),1,0)</f>
        <v>1</v>
      </c>
      <c r="L19" s="26">
        <f>IF(K19=0,0,(I19/SUMIFS($I$7:$I$55,$C$7:$C$55,C19,$K$7:$K$55,1))*INDEX('Bobot Kategori'!$C$6:$E$11,MATCH('Profil Peserta'!$C$11,'Bobot Kategori'!$B$6:$B$11,0),MATCH(C19,'Bobot Kategori'!$C$5:$E$5,0)))</f>
        <v>1.7499999999999998E-2</v>
      </c>
      <c r="M19" s="27">
        <f t="shared" si="0"/>
        <v>8.7499999999999994E-2</v>
      </c>
    </row>
    <row r="20" spans="2:13" ht="36" x14ac:dyDescent="0.2">
      <c r="B20" s="14">
        <v>14</v>
      </c>
      <c r="C20" s="24" t="s">
        <v>38</v>
      </c>
      <c r="D20" s="16" t="s">
        <v>127</v>
      </c>
      <c r="E20" s="14" t="s">
        <v>134</v>
      </c>
      <c r="F20" s="15" t="s">
        <v>135</v>
      </c>
      <c r="G20" s="15" t="s">
        <v>136</v>
      </c>
      <c r="H20" s="22" t="s">
        <v>120</v>
      </c>
      <c r="I20" s="23">
        <v>0.02</v>
      </c>
      <c r="J20" s="17">
        <v>5</v>
      </c>
      <c r="K20" s="25">
        <f>IF(ISNUMBER(SEARCH(","&amp;'Profil Peserta'!$C$11&amp;",", ","&amp;H20&amp;",")),1,0)</f>
        <v>1</v>
      </c>
      <c r="L20" s="26">
        <f>IF(K20=0,0,(I20/SUMIFS($I$7:$I$55,$C$7:$C$55,C20,$K$7:$K$55,1))*INDEX('Bobot Kategori'!$C$6:$E$11,MATCH('Profil Peserta'!$C$11,'Bobot Kategori'!$B$6:$B$11,0),MATCH(C20,'Bobot Kategori'!$C$5:$E$5,0)))</f>
        <v>1.7499999999999998E-2</v>
      </c>
      <c r="M20" s="27">
        <f t="shared" si="0"/>
        <v>8.7499999999999994E-2</v>
      </c>
    </row>
    <row r="21" spans="2:13" ht="32" x14ac:dyDescent="0.2">
      <c r="B21" s="14">
        <v>15</v>
      </c>
      <c r="C21" s="24" t="s">
        <v>38</v>
      </c>
      <c r="D21" s="16" t="s">
        <v>127</v>
      </c>
      <c r="E21" s="14" t="s">
        <v>137</v>
      </c>
      <c r="F21" s="15" t="s">
        <v>138</v>
      </c>
      <c r="G21" s="15" t="s">
        <v>139</v>
      </c>
      <c r="H21" s="22" t="s">
        <v>140</v>
      </c>
      <c r="I21" s="23">
        <v>0.02</v>
      </c>
      <c r="J21" s="17">
        <v>5</v>
      </c>
      <c r="K21" s="25">
        <f>IF(ISNUMBER(SEARCH(","&amp;'Profil Peserta'!$C$11&amp;",", ","&amp;H21&amp;",")),1,0)</f>
        <v>1</v>
      </c>
      <c r="L21" s="26">
        <f>IF(K21=0,0,(I21/SUMIFS($I$7:$I$55,$C$7:$C$55,C21,$K$7:$K$55,1))*INDEX('Bobot Kategori'!$C$6:$E$11,MATCH('Profil Peserta'!$C$11,'Bobot Kategori'!$B$6:$B$11,0),MATCH(C21,'Bobot Kategori'!$C$5:$E$5,0)))</f>
        <v>1.7499999999999998E-2</v>
      </c>
      <c r="M21" s="27">
        <f t="shared" si="0"/>
        <v>8.7499999999999994E-2</v>
      </c>
    </row>
    <row r="22" spans="2:13" ht="32" x14ac:dyDescent="0.2">
      <c r="B22" s="14">
        <v>16</v>
      </c>
      <c r="C22" s="24" t="s">
        <v>38</v>
      </c>
      <c r="D22" s="16" t="s">
        <v>127</v>
      </c>
      <c r="E22" s="14" t="s">
        <v>141</v>
      </c>
      <c r="F22" s="15" t="s">
        <v>142</v>
      </c>
      <c r="G22" s="15" t="s">
        <v>143</v>
      </c>
      <c r="H22" s="22" t="s">
        <v>144</v>
      </c>
      <c r="I22" s="23">
        <v>0.03</v>
      </c>
      <c r="J22" s="17">
        <v>5</v>
      </c>
      <c r="K22" s="25">
        <f>IF(ISNUMBER(SEARCH(","&amp;'Profil Peserta'!$C$11&amp;",", ","&amp;H22&amp;",")),1,0)</f>
        <v>1</v>
      </c>
      <c r="L22" s="26">
        <f>IF(K22=0,0,(I22/SUMIFS($I$7:$I$55,$C$7:$C$55,C22,$K$7:$K$55,1))*INDEX('Bobot Kategori'!$C$6:$E$11,MATCH('Profil Peserta'!$C$11,'Bobot Kategori'!$B$6:$B$11,0),MATCH(C22,'Bobot Kategori'!$C$5:$E$5,0)))</f>
        <v>2.6249999999999999E-2</v>
      </c>
      <c r="M22" s="27">
        <f t="shared" si="0"/>
        <v>0.13125000000000001</v>
      </c>
    </row>
    <row r="23" spans="2:13" ht="32" x14ac:dyDescent="0.2">
      <c r="B23" s="14">
        <v>17</v>
      </c>
      <c r="C23" s="24" t="s">
        <v>38</v>
      </c>
      <c r="D23" s="16" t="s">
        <v>145</v>
      </c>
      <c r="E23" s="14" t="s">
        <v>146</v>
      </c>
      <c r="F23" s="15" t="s">
        <v>147</v>
      </c>
      <c r="G23" s="15" t="s">
        <v>148</v>
      </c>
      <c r="H23" s="22" t="s">
        <v>149</v>
      </c>
      <c r="I23" s="23">
        <v>0.02</v>
      </c>
      <c r="J23" s="17">
        <v>5</v>
      </c>
      <c r="K23" s="25">
        <f>IF(ISNUMBER(SEARCH(","&amp;'Profil Peserta'!$C$11&amp;",", ","&amp;H23&amp;",")),1,0)</f>
        <v>1</v>
      </c>
      <c r="L23" s="26">
        <f>IF(K23=0,0,(I23/SUMIFS($I$7:$I$55,$C$7:$C$55,C23,$K$7:$K$55,1))*INDEX('Bobot Kategori'!$C$6:$E$11,MATCH('Profil Peserta'!$C$11,'Bobot Kategori'!$B$6:$B$11,0),MATCH(C23,'Bobot Kategori'!$C$5:$E$5,0)))</f>
        <v>1.7499999999999998E-2</v>
      </c>
      <c r="M23" s="27">
        <f t="shared" si="0"/>
        <v>8.7499999999999994E-2</v>
      </c>
    </row>
    <row r="24" spans="2:13" ht="32" x14ac:dyDescent="0.2">
      <c r="B24" s="14">
        <v>18</v>
      </c>
      <c r="C24" s="24" t="s">
        <v>38</v>
      </c>
      <c r="D24" s="16" t="s">
        <v>145</v>
      </c>
      <c r="E24" s="14" t="s">
        <v>150</v>
      </c>
      <c r="F24" s="15" t="s">
        <v>151</v>
      </c>
      <c r="G24" s="15" t="s">
        <v>152</v>
      </c>
      <c r="H24" s="22" t="s">
        <v>46</v>
      </c>
      <c r="I24" s="23">
        <v>0.02</v>
      </c>
      <c r="J24" s="17"/>
      <c r="K24" s="25">
        <f>IF(ISNUMBER(SEARCH(","&amp;'Profil Peserta'!$C$11&amp;",", ","&amp;H24&amp;",")),1,0)</f>
        <v>0</v>
      </c>
      <c r="L24" s="26">
        <f>IF(K24=0,0,(I24/SUMIFS($I$7:$I$55,$C$7:$C$55,C24,$K$7:$K$55,1))*INDEX('Bobot Kategori'!$C$6:$E$11,MATCH('Profil Peserta'!$C$11,'Bobot Kategori'!$B$6:$B$11,0),MATCH(C24,'Bobot Kategori'!$C$5:$E$5,0)))</f>
        <v>0</v>
      </c>
      <c r="M24" s="27">
        <f t="shared" si="0"/>
        <v>0</v>
      </c>
    </row>
    <row r="25" spans="2:13" ht="48" x14ac:dyDescent="0.2">
      <c r="B25" s="14">
        <v>19</v>
      </c>
      <c r="C25" s="24" t="s">
        <v>38</v>
      </c>
      <c r="D25" s="16" t="s">
        <v>145</v>
      </c>
      <c r="E25" s="14" t="s">
        <v>153</v>
      </c>
      <c r="F25" s="15" t="s">
        <v>154</v>
      </c>
      <c r="G25" s="15" t="s">
        <v>155</v>
      </c>
      <c r="H25" s="22" t="s">
        <v>48</v>
      </c>
      <c r="I25" s="23">
        <v>0.02</v>
      </c>
      <c r="J25" s="17"/>
      <c r="K25" s="25">
        <f>IF(ISNUMBER(SEARCH(","&amp;'Profil Peserta'!$C$11&amp;",", ","&amp;H25&amp;",")),1,0)</f>
        <v>0</v>
      </c>
      <c r="L25" s="26">
        <f>IF(K25=0,0,(I25/SUMIFS($I$7:$I$55,$C$7:$C$55,C25,$K$7:$K$55,1))*INDEX('Bobot Kategori'!$C$6:$E$11,MATCH('Profil Peserta'!$C$11,'Bobot Kategori'!$B$6:$B$11,0),MATCH(C25,'Bobot Kategori'!$C$5:$E$5,0)))</f>
        <v>0</v>
      </c>
      <c r="M25" s="27">
        <f t="shared" si="0"/>
        <v>0</v>
      </c>
    </row>
    <row r="26" spans="2:13" ht="32" x14ac:dyDescent="0.2">
      <c r="B26" s="14">
        <v>20</v>
      </c>
      <c r="C26" s="24" t="s">
        <v>38</v>
      </c>
      <c r="D26" s="16" t="s">
        <v>145</v>
      </c>
      <c r="E26" s="14" t="s">
        <v>156</v>
      </c>
      <c r="F26" s="15" t="s">
        <v>157</v>
      </c>
      <c r="G26" s="15" t="s">
        <v>158</v>
      </c>
      <c r="H26" s="22" t="s">
        <v>48</v>
      </c>
      <c r="I26" s="23">
        <v>0.02</v>
      </c>
      <c r="J26" s="17"/>
      <c r="K26" s="25">
        <f>IF(ISNUMBER(SEARCH(","&amp;'Profil Peserta'!$C$11&amp;",", ","&amp;H26&amp;",")),1,0)</f>
        <v>0</v>
      </c>
      <c r="L26" s="26">
        <f>IF(K26=0,0,(I26/SUMIFS($I$7:$I$55,$C$7:$C$55,C26,$K$7:$K$55,1))*INDEX('Bobot Kategori'!$C$6:$E$11,MATCH('Profil Peserta'!$C$11,'Bobot Kategori'!$B$6:$B$11,0),MATCH(C26,'Bobot Kategori'!$C$5:$E$5,0)))</f>
        <v>0</v>
      </c>
      <c r="M26" s="27">
        <f t="shared" si="0"/>
        <v>0</v>
      </c>
    </row>
    <row r="27" spans="2:13" ht="48" x14ac:dyDescent="0.2">
      <c r="B27" s="14">
        <v>21</v>
      </c>
      <c r="C27" s="24" t="s">
        <v>38</v>
      </c>
      <c r="D27" s="16" t="s">
        <v>145</v>
      </c>
      <c r="E27" s="14" t="s">
        <v>159</v>
      </c>
      <c r="F27" s="15" t="s">
        <v>160</v>
      </c>
      <c r="G27" s="15" t="s">
        <v>161</v>
      </c>
      <c r="H27" s="22" t="s">
        <v>50</v>
      </c>
      <c r="I27" s="23">
        <v>0.02</v>
      </c>
      <c r="J27" s="17"/>
      <c r="K27" s="25">
        <f>IF(ISNUMBER(SEARCH(","&amp;'Profil Peserta'!$C$11&amp;",", ","&amp;H27&amp;",")),1,0)</f>
        <v>0</v>
      </c>
      <c r="L27" s="26">
        <f>IF(K27=0,0,(I27/SUMIFS($I$7:$I$55,$C$7:$C$55,C27,$K$7:$K$55,1))*INDEX('Bobot Kategori'!$C$6:$E$11,MATCH('Profil Peserta'!$C$11,'Bobot Kategori'!$B$6:$B$11,0),MATCH(C27,'Bobot Kategori'!$C$5:$E$5,0)))</f>
        <v>0</v>
      </c>
      <c r="M27" s="27">
        <f t="shared" si="0"/>
        <v>0</v>
      </c>
    </row>
    <row r="28" spans="2:13" ht="48" x14ac:dyDescent="0.2">
      <c r="B28" s="14">
        <v>22</v>
      </c>
      <c r="C28" s="24" t="s">
        <v>38</v>
      </c>
      <c r="D28" s="16" t="s">
        <v>145</v>
      </c>
      <c r="E28" s="14" t="s">
        <v>162</v>
      </c>
      <c r="F28" s="15" t="s">
        <v>163</v>
      </c>
      <c r="G28" s="15" t="s">
        <v>164</v>
      </c>
      <c r="H28" s="22" t="s">
        <v>165</v>
      </c>
      <c r="I28" s="23">
        <v>0.03</v>
      </c>
      <c r="J28" s="17"/>
      <c r="K28" s="25">
        <f>IF(ISNUMBER(SEARCH(","&amp;'Profil Peserta'!$C$11&amp;",", ","&amp;H28&amp;",")),1,0)</f>
        <v>0</v>
      </c>
      <c r="L28" s="26">
        <f>IF(K28=0,0,(I28/SUMIFS($I$7:$I$55,$C$7:$C$55,C28,$K$7:$K$55,1))*INDEX('Bobot Kategori'!$C$6:$E$11,MATCH('Profil Peserta'!$C$11,'Bobot Kategori'!$B$6:$B$11,0),MATCH(C28,'Bobot Kategori'!$C$5:$E$5,0)))</f>
        <v>0</v>
      </c>
      <c r="M28" s="27">
        <f t="shared" si="0"/>
        <v>0</v>
      </c>
    </row>
    <row r="29" spans="2:13" ht="32" x14ac:dyDescent="0.2">
      <c r="B29" s="14">
        <v>23</v>
      </c>
      <c r="C29" s="24" t="s">
        <v>38</v>
      </c>
      <c r="D29" s="16" t="s">
        <v>145</v>
      </c>
      <c r="E29" s="14" t="s">
        <v>166</v>
      </c>
      <c r="F29" s="15" t="s">
        <v>167</v>
      </c>
      <c r="G29" s="15" t="s">
        <v>168</v>
      </c>
      <c r="H29" s="22" t="s">
        <v>52</v>
      </c>
      <c r="I29" s="23">
        <v>0.02</v>
      </c>
      <c r="J29" s="17"/>
      <c r="K29" s="25">
        <f>IF(ISNUMBER(SEARCH(","&amp;'Profil Peserta'!$C$11&amp;",", ","&amp;H29&amp;",")),1,0)</f>
        <v>0</v>
      </c>
      <c r="L29" s="26">
        <f>IF(K29=0,0,(I29/SUMIFS($I$7:$I$55,$C$7:$C$55,C29,$K$7:$K$55,1))*INDEX('Bobot Kategori'!$C$6:$E$11,MATCH('Profil Peserta'!$C$11,'Bobot Kategori'!$B$6:$B$11,0),MATCH(C29,'Bobot Kategori'!$C$5:$E$5,0)))</f>
        <v>0</v>
      </c>
      <c r="M29" s="27">
        <f t="shared" si="0"/>
        <v>0</v>
      </c>
    </row>
    <row r="30" spans="2:13" ht="36" x14ac:dyDescent="0.2">
      <c r="B30" s="14">
        <v>24</v>
      </c>
      <c r="C30" s="28" t="s">
        <v>39</v>
      </c>
      <c r="D30" s="16" t="s">
        <v>169</v>
      </c>
      <c r="E30" s="14" t="s">
        <v>170</v>
      </c>
      <c r="F30" s="15" t="s">
        <v>171</v>
      </c>
      <c r="G30" s="15" t="s">
        <v>172</v>
      </c>
      <c r="H30" s="22" t="s">
        <v>120</v>
      </c>
      <c r="I30" s="23">
        <v>0.05</v>
      </c>
      <c r="J30" s="17">
        <v>5</v>
      </c>
      <c r="K30" s="25">
        <f>IF(ISNUMBER(SEARCH(","&amp;'Profil Peserta'!$C$11&amp;",", ","&amp;H30&amp;",")),1,0)</f>
        <v>1</v>
      </c>
      <c r="L30" s="26">
        <f>IF(K30=0,0,(I30/SUMIFS($I$7:$I$55,$C$7:$C$55,C30,$K$7:$K$55,1))*INDEX('Bobot Kategori'!$C$6:$E$11,MATCH('Profil Peserta'!$C$11,'Bobot Kategori'!$B$6:$B$11,0),MATCH(C30,'Bobot Kategori'!$C$5:$E$5,0)))</f>
        <v>4.8780487804878037E-2</v>
      </c>
      <c r="M30" s="27">
        <f t="shared" si="0"/>
        <v>0.24390243902439018</v>
      </c>
    </row>
    <row r="31" spans="2:13" ht="36" x14ac:dyDescent="0.2">
      <c r="B31" s="14">
        <v>25</v>
      </c>
      <c r="C31" s="28" t="s">
        <v>39</v>
      </c>
      <c r="D31" s="16" t="s">
        <v>169</v>
      </c>
      <c r="E31" s="14" t="s">
        <v>173</v>
      </c>
      <c r="F31" s="15" t="s">
        <v>174</v>
      </c>
      <c r="G31" s="15" t="s">
        <v>175</v>
      </c>
      <c r="H31" s="22" t="s">
        <v>120</v>
      </c>
      <c r="I31" s="23">
        <v>0.04</v>
      </c>
      <c r="J31" s="17">
        <v>5</v>
      </c>
      <c r="K31" s="25">
        <f>IF(ISNUMBER(SEARCH(","&amp;'Profil Peserta'!$C$11&amp;",", ","&amp;H31&amp;",")),1,0)</f>
        <v>1</v>
      </c>
      <c r="L31" s="26">
        <f>IF(K31=0,0,(I31/SUMIFS($I$7:$I$55,$C$7:$C$55,C31,$K$7:$K$55,1))*INDEX('Bobot Kategori'!$C$6:$E$11,MATCH('Profil Peserta'!$C$11,'Bobot Kategori'!$B$6:$B$11,0),MATCH(C31,'Bobot Kategori'!$C$5:$E$5,0)))</f>
        <v>3.9024390243902425E-2</v>
      </c>
      <c r="M31" s="27">
        <f t="shared" si="0"/>
        <v>0.19512195121951212</v>
      </c>
    </row>
    <row r="32" spans="2:13" ht="36" x14ac:dyDescent="0.2">
      <c r="B32" s="14">
        <v>26</v>
      </c>
      <c r="C32" s="28" t="s">
        <v>39</v>
      </c>
      <c r="D32" s="16" t="s">
        <v>169</v>
      </c>
      <c r="E32" s="14" t="s">
        <v>176</v>
      </c>
      <c r="F32" s="15" t="s">
        <v>177</v>
      </c>
      <c r="G32" s="15" t="s">
        <v>178</v>
      </c>
      <c r="H32" s="22" t="s">
        <v>120</v>
      </c>
      <c r="I32" s="23">
        <v>0.04</v>
      </c>
      <c r="J32" s="17">
        <v>5</v>
      </c>
      <c r="K32" s="25">
        <f>IF(ISNUMBER(SEARCH(","&amp;'Profil Peserta'!$C$11&amp;",", ","&amp;H32&amp;",")),1,0)</f>
        <v>1</v>
      </c>
      <c r="L32" s="26">
        <f>IF(K32=0,0,(I32/SUMIFS($I$7:$I$55,$C$7:$C$55,C32,$K$7:$K$55,1))*INDEX('Bobot Kategori'!$C$6:$E$11,MATCH('Profil Peserta'!$C$11,'Bobot Kategori'!$B$6:$B$11,0),MATCH(C32,'Bobot Kategori'!$C$5:$E$5,0)))</f>
        <v>3.9024390243902425E-2</v>
      </c>
      <c r="M32" s="27">
        <f t="shared" si="0"/>
        <v>0.19512195121951212</v>
      </c>
    </row>
    <row r="33" spans="2:13" ht="36" x14ac:dyDescent="0.2">
      <c r="B33" s="14">
        <v>27</v>
      </c>
      <c r="C33" s="28" t="s">
        <v>39</v>
      </c>
      <c r="D33" s="16" t="s">
        <v>169</v>
      </c>
      <c r="E33" s="14" t="s">
        <v>179</v>
      </c>
      <c r="F33" s="15" t="s">
        <v>180</v>
      </c>
      <c r="G33" s="15" t="s">
        <v>181</v>
      </c>
      <c r="H33" s="22" t="s">
        <v>120</v>
      </c>
      <c r="I33" s="23">
        <v>0.03</v>
      </c>
      <c r="J33" s="17">
        <v>5</v>
      </c>
      <c r="K33" s="25">
        <f>IF(ISNUMBER(SEARCH(","&amp;'Profil Peserta'!$C$11&amp;",", ","&amp;H33&amp;",")),1,0)</f>
        <v>1</v>
      </c>
      <c r="L33" s="26">
        <f>IF(K33=0,0,(I33/SUMIFS($I$7:$I$55,$C$7:$C$55,C33,$K$7:$K$55,1))*INDEX('Bobot Kategori'!$C$6:$E$11,MATCH('Profil Peserta'!$C$11,'Bobot Kategori'!$B$6:$B$11,0),MATCH(C33,'Bobot Kategori'!$C$5:$E$5,0)))</f>
        <v>2.9268292682926817E-2</v>
      </c>
      <c r="M33" s="27">
        <f t="shared" si="0"/>
        <v>0.14634146341463408</v>
      </c>
    </row>
    <row r="34" spans="2:13" ht="36" x14ac:dyDescent="0.2">
      <c r="B34" s="14">
        <v>28</v>
      </c>
      <c r="C34" s="28" t="s">
        <v>39</v>
      </c>
      <c r="D34" s="16" t="s">
        <v>169</v>
      </c>
      <c r="E34" s="14" t="s">
        <v>182</v>
      </c>
      <c r="F34" s="15" t="s">
        <v>183</v>
      </c>
      <c r="G34" s="15" t="s">
        <v>184</v>
      </c>
      <c r="H34" s="22" t="s">
        <v>120</v>
      </c>
      <c r="I34" s="23">
        <v>0.03</v>
      </c>
      <c r="J34" s="17">
        <v>5</v>
      </c>
      <c r="K34" s="25">
        <f>IF(ISNUMBER(SEARCH(","&amp;'Profil Peserta'!$C$11&amp;",", ","&amp;H34&amp;",")),1,0)</f>
        <v>1</v>
      </c>
      <c r="L34" s="26">
        <f>IF(K34=0,0,(I34/SUMIFS($I$7:$I$55,$C$7:$C$55,C34,$K$7:$K$55,1))*INDEX('Bobot Kategori'!$C$6:$E$11,MATCH('Profil Peserta'!$C$11,'Bobot Kategori'!$B$6:$B$11,0),MATCH(C34,'Bobot Kategori'!$C$5:$E$5,0)))</f>
        <v>2.9268292682926817E-2</v>
      </c>
      <c r="M34" s="27">
        <f t="shared" si="0"/>
        <v>0.14634146341463408</v>
      </c>
    </row>
    <row r="35" spans="2:13" ht="32" x14ac:dyDescent="0.2">
      <c r="B35" s="14">
        <v>29</v>
      </c>
      <c r="C35" s="28" t="s">
        <v>39</v>
      </c>
      <c r="D35" s="16" t="s">
        <v>185</v>
      </c>
      <c r="E35" s="14" t="s">
        <v>186</v>
      </c>
      <c r="F35" s="15" t="s">
        <v>187</v>
      </c>
      <c r="G35" s="15" t="s">
        <v>188</v>
      </c>
      <c r="H35" s="22" t="s">
        <v>6</v>
      </c>
      <c r="I35" s="23">
        <v>0.03</v>
      </c>
      <c r="J35" s="17">
        <v>5</v>
      </c>
      <c r="K35" s="25">
        <f>IF(ISNUMBER(SEARCH(","&amp;'Profil Peserta'!$C$11&amp;",", ","&amp;H35&amp;",")),1,0)</f>
        <v>1</v>
      </c>
      <c r="L35" s="26">
        <f>IF(K35=0,0,(I35/SUMIFS($I$7:$I$55,$C$7:$C$55,C35,$K$7:$K$55,1))*INDEX('Bobot Kategori'!$C$6:$E$11,MATCH('Profil Peserta'!$C$11,'Bobot Kategori'!$B$6:$B$11,0),MATCH(C35,'Bobot Kategori'!$C$5:$E$5,0)))</f>
        <v>2.9268292682926817E-2</v>
      </c>
      <c r="M35" s="27">
        <f t="shared" si="0"/>
        <v>0.14634146341463408</v>
      </c>
    </row>
    <row r="36" spans="2:13" ht="36" x14ac:dyDescent="0.2">
      <c r="B36" s="14">
        <v>30</v>
      </c>
      <c r="C36" s="28" t="s">
        <v>39</v>
      </c>
      <c r="D36" s="16" t="s">
        <v>185</v>
      </c>
      <c r="E36" s="14" t="s">
        <v>189</v>
      </c>
      <c r="F36" s="15" t="s">
        <v>190</v>
      </c>
      <c r="G36" s="15" t="s">
        <v>191</v>
      </c>
      <c r="H36" s="22" t="s">
        <v>120</v>
      </c>
      <c r="I36" s="23">
        <v>0.03</v>
      </c>
      <c r="J36" s="17">
        <v>5</v>
      </c>
      <c r="K36" s="25">
        <f>IF(ISNUMBER(SEARCH(","&amp;'Profil Peserta'!$C$11&amp;",", ","&amp;H36&amp;",")),1,0)</f>
        <v>1</v>
      </c>
      <c r="L36" s="26">
        <f>IF(K36=0,0,(I36/SUMIFS($I$7:$I$55,$C$7:$C$55,C36,$K$7:$K$55,1))*INDEX('Bobot Kategori'!$C$6:$E$11,MATCH('Profil Peserta'!$C$11,'Bobot Kategori'!$B$6:$B$11,0),MATCH(C36,'Bobot Kategori'!$C$5:$E$5,0)))</f>
        <v>2.9268292682926817E-2</v>
      </c>
      <c r="M36" s="27">
        <f t="shared" si="0"/>
        <v>0.14634146341463408</v>
      </c>
    </row>
    <row r="37" spans="2:13" ht="36" x14ac:dyDescent="0.2">
      <c r="B37" s="14">
        <v>31</v>
      </c>
      <c r="C37" s="28" t="s">
        <v>39</v>
      </c>
      <c r="D37" s="16" t="s">
        <v>185</v>
      </c>
      <c r="E37" s="14" t="s">
        <v>192</v>
      </c>
      <c r="F37" s="15" t="s">
        <v>193</v>
      </c>
      <c r="G37" s="15" t="s">
        <v>194</v>
      </c>
      <c r="H37" s="22" t="s">
        <v>120</v>
      </c>
      <c r="I37" s="23">
        <v>0.02</v>
      </c>
      <c r="J37" s="17">
        <v>5</v>
      </c>
      <c r="K37" s="25">
        <f>IF(ISNUMBER(SEARCH(","&amp;'Profil Peserta'!$C$11&amp;",", ","&amp;H37&amp;",")),1,0)</f>
        <v>1</v>
      </c>
      <c r="L37" s="26">
        <f>IF(K37=0,0,(I37/SUMIFS($I$7:$I$55,$C$7:$C$55,C37,$K$7:$K$55,1))*INDEX('Bobot Kategori'!$C$6:$E$11,MATCH('Profil Peserta'!$C$11,'Bobot Kategori'!$B$6:$B$11,0),MATCH(C37,'Bobot Kategori'!$C$5:$E$5,0)))</f>
        <v>1.9512195121951213E-2</v>
      </c>
      <c r="M37" s="27">
        <f t="shared" si="0"/>
        <v>9.7560975609756059E-2</v>
      </c>
    </row>
    <row r="38" spans="2:13" ht="32" x14ac:dyDescent="0.2">
      <c r="B38" s="14">
        <v>32</v>
      </c>
      <c r="C38" s="28" t="s">
        <v>39</v>
      </c>
      <c r="D38" s="16" t="s">
        <v>185</v>
      </c>
      <c r="E38" s="14" t="s">
        <v>195</v>
      </c>
      <c r="F38" s="15" t="s">
        <v>196</v>
      </c>
      <c r="G38" s="15" t="s">
        <v>197</v>
      </c>
      <c r="H38" s="22" t="s">
        <v>6</v>
      </c>
      <c r="I38" s="23">
        <v>0.03</v>
      </c>
      <c r="J38" s="17">
        <v>5</v>
      </c>
      <c r="K38" s="25">
        <f>IF(ISNUMBER(SEARCH(","&amp;'Profil Peserta'!$C$11&amp;",", ","&amp;H38&amp;",")),1,0)</f>
        <v>1</v>
      </c>
      <c r="L38" s="26">
        <f>IF(K38=0,0,(I38/SUMIFS($I$7:$I$55,$C$7:$C$55,C38,$K$7:$K$55,1))*INDEX('Bobot Kategori'!$C$6:$E$11,MATCH('Profil Peserta'!$C$11,'Bobot Kategori'!$B$6:$B$11,0),MATCH(C38,'Bobot Kategori'!$C$5:$E$5,0)))</f>
        <v>2.9268292682926817E-2</v>
      </c>
      <c r="M38" s="27">
        <f t="shared" si="0"/>
        <v>0.14634146341463408</v>
      </c>
    </row>
    <row r="39" spans="2:13" ht="32" x14ac:dyDescent="0.2">
      <c r="B39" s="14">
        <v>33</v>
      </c>
      <c r="C39" s="28" t="s">
        <v>39</v>
      </c>
      <c r="D39" s="16" t="s">
        <v>185</v>
      </c>
      <c r="E39" s="14" t="s">
        <v>198</v>
      </c>
      <c r="F39" s="15" t="s">
        <v>199</v>
      </c>
      <c r="G39" s="15" t="s">
        <v>200</v>
      </c>
      <c r="H39" s="22" t="s">
        <v>6</v>
      </c>
      <c r="I39" s="23">
        <v>0.02</v>
      </c>
      <c r="J39" s="17">
        <v>5</v>
      </c>
      <c r="K39" s="25">
        <f>IF(ISNUMBER(SEARCH(","&amp;'Profil Peserta'!$C$11&amp;",", ","&amp;H39&amp;",")),1,0)</f>
        <v>1</v>
      </c>
      <c r="L39" s="26">
        <f>IF(K39=0,0,(I39/SUMIFS($I$7:$I$55,$C$7:$C$55,C39,$K$7:$K$55,1))*INDEX('Bobot Kategori'!$C$6:$E$11,MATCH('Profil Peserta'!$C$11,'Bobot Kategori'!$B$6:$B$11,0),MATCH(C39,'Bobot Kategori'!$C$5:$E$5,0)))</f>
        <v>1.9512195121951213E-2</v>
      </c>
      <c r="M39" s="27">
        <f t="shared" ref="M39:M55" si="1">L39*J39</f>
        <v>9.7560975609756059E-2</v>
      </c>
    </row>
    <row r="40" spans="2:13" ht="36" x14ac:dyDescent="0.2">
      <c r="B40" s="14">
        <v>34</v>
      </c>
      <c r="C40" s="28" t="s">
        <v>39</v>
      </c>
      <c r="D40" s="16" t="s">
        <v>201</v>
      </c>
      <c r="E40" s="14" t="s">
        <v>202</v>
      </c>
      <c r="F40" s="15" t="s">
        <v>203</v>
      </c>
      <c r="G40" s="15" t="s">
        <v>204</v>
      </c>
      <c r="H40" s="22" t="s">
        <v>120</v>
      </c>
      <c r="I40" s="23">
        <v>0.02</v>
      </c>
      <c r="J40" s="17">
        <v>5</v>
      </c>
      <c r="K40" s="25">
        <f>IF(ISNUMBER(SEARCH(","&amp;'Profil Peserta'!$C$11&amp;",", ","&amp;H40&amp;",")),1,0)</f>
        <v>1</v>
      </c>
      <c r="L40" s="26">
        <f>IF(K40=0,0,(I40/SUMIFS($I$7:$I$55,$C$7:$C$55,C40,$K$7:$K$55,1))*INDEX('Bobot Kategori'!$C$6:$E$11,MATCH('Profil Peserta'!$C$11,'Bobot Kategori'!$B$6:$B$11,0),MATCH(C40,'Bobot Kategori'!$C$5:$E$5,0)))</f>
        <v>1.9512195121951213E-2</v>
      </c>
      <c r="M40" s="27">
        <f t="shared" si="1"/>
        <v>9.7560975609756059E-2</v>
      </c>
    </row>
    <row r="41" spans="2:13" ht="36" x14ac:dyDescent="0.2">
      <c r="B41" s="14">
        <v>35</v>
      </c>
      <c r="C41" s="28" t="s">
        <v>39</v>
      </c>
      <c r="D41" s="16" t="s">
        <v>201</v>
      </c>
      <c r="E41" s="14" t="s">
        <v>205</v>
      </c>
      <c r="F41" s="15" t="s">
        <v>206</v>
      </c>
      <c r="G41" s="15" t="s">
        <v>207</v>
      </c>
      <c r="H41" s="22" t="s">
        <v>120</v>
      </c>
      <c r="I41" s="23">
        <v>0.03</v>
      </c>
      <c r="J41" s="17">
        <v>5</v>
      </c>
      <c r="K41" s="25">
        <f>IF(ISNUMBER(SEARCH(","&amp;'Profil Peserta'!$C$11&amp;",", ","&amp;H41&amp;",")),1,0)</f>
        <v>1</v>
      </c>
      <c r="L41" s="26">
        <f>IF(K41=0,0,(I41/SUMIFS($I$7:$I$55,$C$7:$C$55,C41,$K$7:$K$55,1))*INDEX('Bobot Kategori'!$C$6:$E$11,MATCH('Profil Peserta'!$C$11,'Bobot Kategori'!$B$6:$B$11,0),MATCH(C41,'Bobot Kategori'!$C$5:$E$5,0)))</f>
        <v>2.9268292682926817E-2</v>
      </c>
      <c r="M41" s="27">
        <f t="shared" si="1"/>
        <v>0.14634146341463408</v>
      </c>
    </row>
    <row r="42" spans="2:13" ht="36" x14ac:dyDescent="0.2">
      <c r="B42" s="14">
        <v>36</v>
      </c>
      <c r="C42" s="28" t="s">
        <v>39</v>
      </c>
      <c r="D42" s="16" t="s">
        <v>201</v>
      </c>
      <c r="E42" s="14" t="s">
        <v>208</v>
      </c>
      <c r="F42" s="15" t="s">
        <v>209</v>
      </c>
      <c r="G42" s="15" t="s">
        <v>210</v>
      </c>
      <c r="H42" s="22" t="s">
        <v>120</v>
      </c>
      <c r="I42" s="23">
        <v>0.02</v>
      </c>
      <c r="J42" s="17">
        <v>5</v>
      </c>
      <c r="K42" s="25">
        <f>IF(ISNUMBER(SEARCH(","&amp;'Profil Peserta'!$C$11&amp;",", ","&amp;H42&amp;",")),1,0)</f>
        <v>1</v>
      </c>
      <c r="L42" s="26">
        <f>IF(K42=0,0,(I42/SUMIFS($I$7:$I$55,$C$7:$C$55,C42,$K$7:$K$55,1))*INDEX('Bobot Kategori'!$C$6:$E$11,MATCH('Profil Peserta'!$C$11,'Bobot Kategori'!$B$6:$B$11,0),MATCH(C42,'Bobot Kategori'!$C$5:$E$5,0)))</f>
        <v>1.9512195121951213E-2</v>
      </c>
      <c r="M42" s="27">
        <f t="shared" si="1"/>
        <v>9.7560975609756059E-2</v>
      </c>
    </row>
    <row r="43" spans="2:13" ht="36" x14ac:dyDescent="0.2">
      <c r="B43" s="14">
        <v>37</v>
      </c>
      <c r="C43" s="28" t="s">
        <v>39</v>
      </c>
      <c r="D43" s="16" t="s">
        <v>201</v>
      </c>
      <c r="E43" s="14" t="s">
        <v>211</v>
      </c>
      <c r="F43" s="15" t="s">
        <v>212</v>
      </c>
      <c r="G43" s="15" t="s">
        <v>213</v>
      </c>
      <c r="H43" s="22" t="s">
        <v>120</v>
      </c>
      <c r="I43" s="23">
        <v>0.02</v>
      </c>
      <c r="J43" s="17">
        <v>5</v>
      </c>
      <c r="K43" s="25">
        <f>IF(ISNUMBER(SEARCH(","&amp;'Profil Peserta'!$C$11&amp;",", ","&amp;H43&amp;",")),1,0)</f>
        <v>1</v>
      </c>
      <c r="L43" s="26">
        <f>IF(K43=0,0,(I43/SUMIFS($I$7:$I$55,$C$7:$C$55,C43,$K$7:$K$55,1))*INDEX('Bobot Kategori'!$C$6:$E$11,MATCH('Profil Peserta'!$C$11,'Bobot Kategori'!$B$6:$B$11,0),MATCH(C43,'Bobot Kategori'!$C$5:$E$5,0)))</f>
        <v>1.9512195121951213E-2</v>
      </c>
      <c r="M43" s="27">
        <f t="shared" si="1"/>
        <v>9.7560975609756059E-2</v>
      </c>
    </row>
    <row r="44" spans="2:13" ht="48" x14ac:dyDescent="0.2">
      <c r="B44" s="14">
        <v>38</v>
      </c>
      <c r="C44" s="28" t="s">
        <v>39</v>
      </c>
      <c r="D44" s="16" t="s">
        <v>201</v>
      </c>
      <c r="E44" s="14" t="s">
        <v>214</v>
      </c>
      <c r="F44" s="15" t="s">
        <v>215</v>
      </c>
      <c r="G44" s="15" t="s">
        <v>216</v>
      </c>
      <c r="H44" s="22" t="s">
        <v>217</v>
      </c>
      <c r="I44" s="23">
        <v>0.03</v>
      </c>
      <c r="J44" s="17"/>
      <c r="K44" s="25">
        <f>IF(ISNUMBER(SEARCH(","&amp;'Profil Peserta'!$C$11&amp;",", ","&amp;H44&amp;",")),1,0)</f>
        <v>0</v>
      </c>
      <c r="L44" s="26">
        <f>IF(K44=0,0,(I44/SUMIFS($I$7:$I$55,$C$7:$C$55,C44,$K$7:$K$55,1))*INDEX('Bobot Kategori'!$C$6:$E$11,MATCH('Profil Peserta'!$C$11,'Bobot Kategori'!$B$6:$B$11,0),MATCH(C44,'Bobot Kategori'!$C$5:$E$5,0)))</f>
        <v>0</v>
      </c>
      <c r="M44" s="27">
        <f t="shared" si="1"/>
        <v>0</v>
      </c>
    </row>
    <row r="45" spans="2:13" ht="36" x14ac:dyDescent="0.2">
      <c r="B45" s="14">
        <v>39</v>
      </c>
      <c r="C45" s="29" t="s">
        <v>40</v>
      </c>
      <c r="D45" s="16" t="s">
        <v>218</v>
      </c>
      <c r="E45" s="14" t="s">
        <v>219</v>
      </c>
      <c r="F45" s="15" t="s">
        <v>220</v>
      </c>
      <c r="G45" s="15" t="s">
        <v>221</v>
      </c>
      <c r="H45" s="22" t="s">
        <v>120</v>
      </c>
      <c r="I45" s="23">
        <v>0.03</v>
      </c>
      <c r="J45" s="17">
        <v>5</v>
      </c>
      <c r="K45" s="25">
        <f>IF(ISNUMBER(SEARCH(","&amp;'Profil Peserta'!$C$11&amp;",", ","&amp;H45&amp;",")),1,0)</f>
        <v>1</v>
      </c>
      <c r="L45" s="26">
        <f>IF(K45=0,0,(I45/SUMIFS($I$7:$I$55,$C$7:$C$55,C45,$K$7:$K$55,1))*INDEX('Bobot Kategori'!$C$6:$E$11,MATCH('Profil Peserta'!$C$11,'Bobot Kategori'!$B$6:$B$11,0),MATCH(C45,'Bobot Kategori'!$C$5:$E$5,0)))</f>
        <v>3.0000000000000002E-2</v>
      </c>
      <c r="M45" s="27">
        <f t="shared" si="1"/>
        <v>0.15000000000000002</v>
      </c>
    </row>
    <row r="46" spans="2:13" ht="36" x14ac:dyDescent="0.2">
      <c r="B46" s="14">
        <v>40</v>
      </c>
      <c r="C46" s="29" t="s">
        <v>40</v>
      </c>
      <c r="D46" s="16" t="s">
        <v>218</v>
      </c>
      <c r="E46" s="14" t="s">
        <v>222</v>
      </c>
      <c r="F46" s="15" t="s">
        <v>223</v>
      </c>
      <c r="G46" s="15" t="s">
        <v>224</v>
      </c>
      <c r="H46" s="22" t="s">
        <v>120</v>
      </c>
      <c r="I46" s="23">
        <v>0.03</v>
      </c>
      <c r="J46" s="17">
        <v>5</v>
      </c>
      <c r="K46" s="25">
        <f>IF(ISNUMBER(SEARCH(","&amp;'Profil Peserta'!$C$11&amp;",", ","&amp;H46&amp;",")),1,0)</f>
        <v>1</v>
      </c>
      <c r="L46" s="26">
        <f>IF(K46=0,0,(I46/SUMIFS($I$7:$I$55,$C$7:$C$55,C46,$K$7:$K$55,1))*INDEX('Bobot Kategori'!$C$6:$E$11,MATCH('Profil Peserta'!$C$11,'Bobot Kategori'!$B$6:$B$11,0),MATCH(C46,'Bobot Kategori'!$C$5:$E$5,0)))</f>
        <v>3.0000000000000002E-2</v>
      </c>
      <c r="M46" s="27">
        <f t="shared" si="1"/>
        <v>0.15000000000000002</v>
      </c>
    </row>
    <row r="47" spans="2:13" ht="36" x14ac:dyDescent="0.2">
      <c r="B47" s="14">
        <v>41</v>
      </c>
      <c r="C47" s="29" t="s">
        <v>40</v>
      </c>
      <c r="D47" s="16" t="s">
        <v>218</v>
      </c>
      <c r="E47" s="14" t="s">
        <v>225</v>
      </c>
      <c r="F47" s="15" t="s">
        <v>226</v>
      </c>
      <c r="G47" s="15" t="s">
        <v>227</v>
      </c>
      <c r="H47" s="22" t="s">
        <v>120</v>
      </c>
      <c r="I47" s="23">
        <v>0.02</v>
      </c>
      <c r="J47" s="17">
        <v>5</v>
      </c>
      <c r="K47" s="25">
        <f>IF(ISNUMBER(SEARCH(","&amp;'Profil Peserta'!$C$11&amp;",", ","&amp;H47&amp;",")),1,0)</f>
        <v>1</v>
      </c>
      <c r="L47" s="26">
        <f>IF(K47=0,0,(I47/SUMIFS($I$7:$I$55,$C$7:$C$55,C47,$K$7:$K$55,1))*INDEX('Bobot Kategori'!$C$6:$E$11,MATCH('Profil Peserta'!$C$11,'Bobot Kategori'!$B$6:$B$11,0),MATCH(C47,'Bobot Kategori'!$C$5:$E$5,0)))</f>
        <v>2.0000000000000004E-2</v>
      </c>
      <c r="M47" s="27">
        <f t="shared" si="1"/>
        <v>0.10000000000000002</v>
      </c>
    </row>
    <row r="48" spans="2:13" ht="32" x14ac:dyDescent="0.2">
      <c r="B48" s="14">
        <v>42</v>
      </c>
      <c r="C48" s="29" t="s">
        <v>40</v>
      </c>
      <c r="D48" s="16" t="s">
        <v>218</v>
      </c>
      <c r="E48" s="14" t="s">
        <v>228</v>
      </c>
      <c r="F48" s="15" t="s">
        <v>229</v>
      </c>
      <c r="G48" s="15" t="s">
        <v>230</v>
      </c>
      <c r="H48" s="22" t="s">
        <v>6</v>
      </c>
      <c r="I48" s="23">
        <v>0.03</v>
      </c>
      <c r="J48" s="17">
        <v>5</v>
      </c>
      <c r="K48" s="25">
        <f>IF(ISNUMBER(SEARCH(","&amp;'Profil Peserta'!$C$11&amp;",", ","&amp;H48&amp;",")),1,0)</f>
        <v>1</v>
      </c>
      <c r="L48" s="26">
        <f>IF(K48=0,0,(I48/SUMIFS($I$7:$I$55,$C$7:$C$55,C48,$K$7:$K$55,1))*INDEX('Bobot Kategori'!$C$6:$E$11,MATCH('Profil Peserta'!$C$11,'Bobot Kategori'!$B$6:$B$11,0),MATCH(C48,'Bobot Kategori'!$C$5:$E$5,0)))</f>
        <v>3.0000000000000002E-2</v>
      </c>
      <c r="M48" s="27">
        <f t="shared" si="1"/>
        <v>0.15000000000000002</v>
      </c>
    </row>
    <row r="49" spans="2:13" ht="36" x14ac:dyDescent="0.2">
      <c r="B49" s="14">
        <v>43</v>
      </c>
      <c r="C49" s="29" t="s">
        <v>40</v>
      </c>
      <c r="D49" s="16" t="s">
        <v>218</v>
      </c>
      <c r="E49" s="14" t="s">
        <v>231</v>
      </c>
      <c r="F49" s="15" t="s">
        <v>232</v>
      </c>
      <c r="G49" s="15" t="s">
        <v>233</v>
      </c>
      <c r="H49" s="22" t="s">
        <v>234</v>
      </c>
      <c r="I49" s="23">
        <v>0.03</v>
      </c>
      <c r="J49" s="17"/>
      <c r="K49" s="25">
        <f>IF(ISNUMBER(SEARCH(","&amp;'Profil Peserta'!$C$11&amp;",", ","&amp;H49&amp;",")),1,0)</f>
        <v>0</v>
      </c>
      <c r="L49" s="26">
        <f>IF(K49=0,0,(I49/SUMIFS($I$7:$I$55,$C$7:$C$55,C49,$K$7:$K$55,1))*INDEX('Bobot Kategori'!$C$6:$E$11,MATCH('Profil Peserta'!$C$11,'Bobot Kategori'!$B$6:$B$11,0),MATCH(C49,'Bobot Kategori'!$C$5:$E$5,0)))</f>
        <v>0</v>
      </c>
      <c r="M49" s="27">
        <f t="shared" si="1"/>
        <v>0</v>
      </c>
    </row>
    <row r="50" spans="2:13" ht="36" x14ac:dyDescent="0.2">
      <c r="B50" s="14">
        <v>44</v>
      </c>
      <c r="C50" s="29" t="s">
        <v>40</v>
      </c>
      <c r="D50" s="16" t="s">
        <v>218</v>
      </c>
      <c r="E50" s="14" t="s">
        <v>235</v>
      </c>
      <c r="F50" s="15" t="s">
        <v>236</v>
      </c>
      <c r="G50" s="15" t="s">
        <v>237</v>
      </c>
      <c r="H50" s="22" t="s">
        <v>120</v>
      </c>
      <c r="I50" s="23">
        <v>0.02</v>
      </c>
      <c r="J50" s="17">
        <v>5</v>
      </c>
      <c r="K50" s="25">
        <f>IF(ISNUMBER(SEARCH(","&amp;'Profil Peserta'!$C$11&amp;",", ","&amp;H50&amp;",")),1,0)</f>
        <v>1</v>
      </c>
      <c r="L50" s="26">
        <f>IF(K50=0,0,(I50/SUMIFS($I$7:$I$55,$C$7:$C$55,C50,$K$7:$K$55,1))*INDEX('Bobot Kategori'!$C$6:$E$11,MATCH('Profil Peserta'!$C$11,'Bobot Kategori'!$B$6:$B$11,0),MATCH(C50,'Bobot Kategori'!$C$5:$E$5,0)))</f>
        <v>2.0000000000000004E-2</v>
      </c>
      <c r="M50" s="27">
        <f t="shared" si="1"/>
        <v>0.10000000000000002</v>
      </c>
    </row>
    <row r="51" spans="2:13" ht="36" x14ac:dyDescent="0.2">
      <c r="B51" s="14">
        <v>45</v>
      </c>
      <c r="C51" s="29" t="s">
        <v>40</v>
      </c>
      <c r="D51" s="16" t="s">
        <v>238</v>
      </c>
      <c r="E51" s="14" t="s">
        <v>239</v>
      </c>
      <c r="F51" s="15" t="s">
        <v>240</v>
      </c>
      <c r="G51" s="15" t="s">
        <v>241</v>
      </c>
      <c r="H51" s="22" t="s">
        <v>120</v>
      </c>
      <c r="I51" s="23">
        <v>0.03</v>
      </c>
      <c r="J51" s="17">
        <v>5</v>
      </c>
      <c r="K51" s="25">
        <f>IF(ISNUMBER(SEARCH(","&amp;'Profil Peserta'!$C$11&amp;",", ","&amp;H51&amp;",")),1,0)</f>
        <v>1</v>
      </c>
      <c r="L51" s="26">
        <f>IF(K51=0,0,(I51/SUMIFS($I$7:$I$55,$C$7:$C$55,C51,$K$7:$K$55,1))*INDEX('Bobot Kategori'!$C$6:$E$11,MATCH('Profil Peserta'!$C$11,'Bobot Kategori'!$B$6:$B$11,0),MATCH(C51,'Bobot Kategori'!$C$5:$E$5,0)))</f>
        <v>3.0000000000000002E-2</v>
      </c>
      <c r="M51" s="27">
        <f t="shared" si="1"/>
        <v>0.15000000000000002</v>
      </c>
    </row>
    <row r="52" spans="2:13" ht="36" x14ac:dyDescent="0.2">
      <c r="B52" s="14">
        <v>46</v>
      </c>
      <c r="C52" s="29" t="s">
        <v>40</v>
      </c>
      <c r="D52" s="16" t="s">
        <v>238</v>
      </c>
      <c r="E52" s="14" t="s">
        <v>242</v>
      </c>
      <c r="F52" s="15" t="s">
        <v>243</v>
      </c>
      <c r="G52" s="15" t="s">
        <v>244</v>
      </c>
      <c r="H52" s="22" t="s">
        <v>120</v>
      </c>
      <c r="I52" s="23">
        <v>0.02</v>
      </c>
      <c r="J52" s="17">
        <v>5</v>
      </c>
      <c r="K52" s="25">
        <f>IF(ISNUMBER(SEARCH(","&amp;'Profil Peserta'!$C$11&amp;",", ","&amp;H52&amp;",")),1,0)</f>
        <v>1</v>
      </c>
      <c r="L52" s="26">
        <f>IF(K52=0,0,(I52/SUMIFS($I$7:$I$55,$C$7:$C$55,C52,$K$7:$K$55,1))*INDEX('Bobot Kategori'!$C$6:$E$11,MATCH('Profil Peserta'!$C$11,'Bobot Kategori'!$B$6:$B$11,0),MATCH(C52,'Bobot Kategori'!$C$5:$E$5,0)))</f>
        <v>2.0000000000000004E-2</v>
      </c>
      <c r="M52" s="27">
        <f t="shared" si="1"/>
        <v>0.10000000000000002</v>
      </c>
    </row>
    <row r="53" spans="2:13" ht="36" x14ac:dyDescent="0.2">
      <c r="B53" s="14">
        <v>47</v>
      </c>
      <c r="C53" s="29" t="s">
        <v>40</v>
      </c>
      <c r="D53" s="16" t="s">
        <v>238</v>
      </c>
      <c r="E53" s="14" t="s">
        <v>245</v>
      </c>
      <c r="F53" s="15" t="s">
        <v>246</v>
      </c>
      <c r="G53" s="15" t="s">
        <v>247</v>
      </c>
      <c r="H53" s="22" t="s">
        <v>120</v>
      </c>
      <c r="I53" s="23">
        <v>0.03</v>
      </c>
      <c r="J53" s="17">
        <v>5</v>
      </c>
      <c r="K53" s="25">
        <f>IF(ISNUMBER(SEARCH(","&amp;'Profil Peserta'!$C$11&amp;",", ","&amp;H53&amp;",")),1,0)</f>
        <v>1</v>
      </c>
      <c r="L53" s="26">
        <f>IF(K53=0,0,(I53/SUMIFS($I$7:$I$55,$C$7:$C$55,C53,$K$7:$K$55,1))*INDEX('Bobot Kategori'!$C$6:$E$11,MATCH('Profil Peserta'!$C$11,'Bobot Kategori'!$B$6:$B$11,0),MATCH(C53,'Bobot Kategori'!$C$5:$E$5,0)))</f>
        <v>3.0000000000000002E-2</v>
      </c>
      <c r="M53" s="27">
        <f t="shared" si="1"/>
        <v>0.15000000000000002</v>
      </c>
    </row>
    <row r="54" spans="2:13" ht="36" x14ac:dyDescent="0.2">
      <c r="B54" s="14">
        <v>48</v>
      </c>
      <c r="C54" s="29" t="s">
        <v>40</v>
      </c>
      <c r="D54" s="16" t="s">
        <v>238</v>
      </c>
      <c r="E54" s="14" t="s">
        <v>248</v>
      </c>
      <c r="F54" s="15" t="s">
        <v>249</v>
      </c>
      <c r="G54" s="15" t="s">
        <v>250</v>
      </c>
      <c r="H54" s="22" t="s">
        <v>120</v>
      </c>
      <c r="I54" s="23">
        <v>0.02</v>
      </c>
      <c r="J54" s="17">
        <v>5</v>
      </c>
      <c r="K54" s="25">
        <f>IF(ISNUMBER(SEARCH(","&amp;'Profil Peserta'!$C$11&amp;",", ","&amp;H54&amp;",")),1,0)</f>
        <v>1</v>
      </c>
      <c r="L54" s="26">
        <f>IF(K54=0,0,(I54/SUMIFS($I$7:$I$55,$C$7:$C$55,C54,$K$7:$K$55,1))*INDEX('Bobot Kategori'!$C$6:$E$11,MATCH('Profil Peserta'!$C$11,'Bobot Kategori'!$B$6:$B$11,0),MATCH(C54,'Bobot Kategori'!$C$5:$E$5,0)))</f>
        <v>2.0000000000000004E-2</v>
      </c>
      <c r="M54" s="27">
        <f t="shared" si="1"/>
        <v>0.10000000000000002</v>
      </c>
    </row>
    <row r="55" spans="2:13" ht="48" x14ac:dyDescent="0.2">
      <c r="B55" s="14">
        <v>49</v>
      </c>
      <c r="C55" s="29" t="s">
        <v>40</v>
      </c>
      <c r="D55" s="16" t="s">
        <v>238</v>
      </c>
      <c r="E55" s="14" t="s">
        <v>251</v>
      </c>
      <c r="F55" s="15" t="s">
        <v>252</v>
      </c>
      <c r="G55" s="15" t="s">
        <v>253</v>
      </c>
      <c r="H55" s="22" t="s">
        <v>120</v>
      </c>
      <c r="I55" s="23">
        <v>0.02</v>
      </c>
      <c r="J55" s="17">
        <v>5</v>
      </c>
      <c r="K55" s="25">
        <f>IF(ISNUMBER(SEARCH(","&amp;'Profil Peserta'!$C$11&amp;",", ","&amp;H55&amp;",")),1,0)</f>
        <v>1</v>
      </c>
      <c r="L55" s="26">
        <f>IF(K55=0,0,(I55/SUMIFS($I$7:$I$55,$C$7:$C$55,C55,$K$7:$K$55,1))*INDEX('Bobot Kategori'!$C$6:$E$11,MATCH('Profil Peserta'!$C$11,'Bobot Kategori'!$B$6:$B$11,0),MATCH(C55,'Bobot Kategori'!$C$5:$E$5,0)))</f>
        <v>2.0000000000000004E-2</v>
      </c>
      <c r="M55" s="27">
        <f t="shared" si="1"/>
        <v>0.10000000000000002</v>
      </c>
    </row>
  </sheetData>
  <mergeCells count="2">
    <mergeCell ref="B3:H3"/>
    <mergeCell ref="B2:H2"/>
  </mergeCells>
  <conditionalFormatting sqref="C7:M55">
    <cfRule type="cellIs" dxfId="7" priority="1" operator="equal">
      <formula>$K7=0</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28090"/>
  </sheetPr>
  <dimension ref="B2:J10"/>
  <sheetViews>
    <sheetView showGridLines="0" workbookViewId="0"/>
  </sheetViews>
  <sheetFormatPr baseColWidth="10" defaultColWidth="8.83203125" defaultRowHeight="15" x14ac:dyDescent="0.2"/>
  <cols>
    <col min="1" max="1" width="3" customWidth="1"/>
    <col min="2" max="2" width="18" customWidth="1"/>
    <col min="3" max="3" width="13" customWidth="1"/>
    <col min="4" max="4" width="15" customWidth="1"/>
    <col min="5" max="6" width="13" customWidth="1"/>
    <col min="7" max="7" width="12" customWidth="1"/>
    <col min="8" max="9" width="13" customWidth="1"/>
    <col min="10" max="10" width="16" customWidth="1"/>
  </cols>
  <sheetData>
    <row r="2" spans="2:10" ht="21" x14ac:dyDescent="0.25">
      <c r="B2" s="1" t="s">
        <v>254</v>
      </c>
    </row>
    <row r="3" spans="2:10" x14ac:dyDescent="0.2">
      <c r="B3" s="20" t="str">
        <f>"Profil Peserta Aktif:  " &amp; 'Profil Peserta'!$C$11</f>
        <v>Profil Peserta Aktif:  IUP</v>
      </c>
    </row>
    <row r="5" spans="2:10" ht="40" customHeight="1" x14ac:dyDescent="0.2">
      <c r="B5" s="10" t="s">
        <v>255</v>
      </c>
      <c r="C5" s="10" t="s">
        <v>256</v>
      </c>
      <c r="D5" s="10" t="s">
        <v>257</v>
      </c>
      <c r="E5" s="10" t="s">
        <v>258</v>
      </c>
      <c r="F5" s="10" t="s">
        <v>259</v>
      </c>
      <c r="G5" s="10" t="s">
        <v>260</v>
      </c>
      <c r="H5" s="10" t="s">
        <v>261</v>
      </c>
      <c r="I5" s="10" t="s">
        <v>262</v>
      </c>
      <c r="J5" s="10" t="s">
        <v>263</v>
      </c>
    </row>
    <row r="6" spans="2:10" x14ac:dyDescent="0.2">
      <c r="B6" s="30" t="s">
        <v>38</v>
      </c>
      <c r="C6" s="23">
        <f>INDEX('Bobot Kategori'!$C$6:$E$11,MATCH('Profil Peserta'!$C$11,'Bobot Kategori'!$B$6:$B$11,0),MATCH(B6,'Bobot Kategori'!$C$5:$E$5,0))</f>
        <v>0.35</v>
      </c>
      <c r="D6" s="31">
        <f>SUMIFS('Master Checklist'!$L$7:$L$55,'Master Checklist'!$C$7:$C$55,B6)</f>
        <v>0.35</v>
      </c>
      <c r="E6" s="32">
        <f>SUMIFS('Master Checklist'!$M$7:$M$55,'Master Checklist'!$C$7:$C$55,B6)</f>
        <v>1.7499999999999998</v>
      </c>
      <c r="F6" s="33">
        <f>IF(D6=0,0,E6/D6)</f>
        <v>5</v>
      </c>
      <c r="G6" s="34">
        <f>IF('Red Flag'!$D$8="Ya",2,5)</f>
        <v>2</v>
      </c>
      <c r="H6" s="35">
        <f>MIN(F6,G6)</f>
        <v>2</v>
      </c>
      <c r="I6" s="32">
        <f>H6*D6</f>
        <v>0.7</v>
      </c>
      <c r="J6" s="36" t="str">
        <f>IF(H6&gt;=4,"Leadership",IF(H6&gt;=3,"Integration",IF(H6&gt;=2,"Foundation","Belum Memenuhi")))</f>
        <v>Foundation</v>
      </c>
    </row>
    <row r="7" spans="2:10" x14ac:dyDescent="0.2">
      <c r="B7" s="30" t="s">
        <v>39</v>
      </c>
      <c r="C7" s="23">
        <f>INDEX('Bobot Kategori'!$C$6:$E$11,MATCH('Profil Peserta'!$C$11,'Bobot Kategori'!$B$6:$B$11,0),MATCH(B7,'Bobot Kategori'!$C$5:$E$5,0))</f>
        <v>0.4</v>
      </c>
      <c r="D7" s="31">
        <f>SUMIFS('Master Checklist'!$L$7:$L$55,'Master Checklist'!$C$7:$C$55,B7)</f>
        <v>0.39999999999999997</v>
      </c>
      <c r="E7" s="32">
        <f>SUMIFS('Master Checklist'!$M$7:$M$55,'Master Checklist'!$C$7:$C$55,B7)</f>
        <v>1.9999999999999987</v>
      </c>
      <c r="F7" s="33">
        <f>IF(D7=0,0,E7/D7)</f>
        <v>4.9999999999999973</v>
      </c>
      <c r="G7" s="34">
        <f>IF('Red Flag'!$D$7="Ya",2,5)</f>
        <v>5</v>
      </c>
      <c r="H7" s="35">
        <f>MIN(F7,G7)</f>
        <v>4.9999999999999973</v>
      </c>
      <c r="I7" s="32">
        <f>H7*D7</f>
        <v>1.9999999999999987</v>
      </c>
      <c r="J7" s="36" t="str">
        <f>IF(H7&gt;=4,"Leadership",IF(H7&gt;=3,"Integration",IF(H7&gt;=2,"Foundation","Belum Memenuhi")))</f>
        <v>Leadership</v>
      </c>
    </row>
    <row r="8" spans="2:10" x14ac:dyDescent="0.2">
      <c r="B8" s="30" t="s">
        <v>40</v>
      </c>
      <c r="C8" s="23">
        <f>INDEX('Bobot Kategori'!$C$6:$E$11,MATCH('Profil Peserta'!$C$11,'Bobot Kategori'!$B$6:$B$11,0),MATCH(B8,'Bobot Kategori'!$C$5:$E$5,0))</f>
        <v>0.25</v>
      </c>
      <c r="D8" s="31">
        <f>SUMIFS('Master Checklist'!$L$7:$L$55,'Master Checklist'!$C$7:$C$55,B8)</f>
        <v>0.25</v>
      </c>
      <c r="E8" s="32">
        <f>SUMIFS('Master Checklist'!$M$7:$M$55,'Master Checklist'!$C$7:$C$55,B8)</f>
        <v>1.2500000000000002</v>
      </c>
      <c r="F8" s="33">
        <f>IF(D8=0,0,E8/D8)</f>
        <v>5.0000000000000009</v>
      </c>
      <c r="G8" s="34">
        <f>IF('Red Flag'!$D$9="Ya",2,5)</f>
        <v>2</v>
      </c>
      <c r="H8" s="35">
        <f>MIN(F8,G8)</f>
        <v>2</v>
      </c>
      <c r="I8" s="32">
        <f>H8*D8</f>
        <v>0.5</v>
      </c>
      <c r="J8" s="36" t="str">
        <f>IF(H8&gt;=4,"Leadership",IF(H8&gt;=3,"Integration",IF(H8&gt;=2,"Foundation","Belum Memenuhi")))</f>
        <v>Foundation</v>
      </c>
    </row>
    <row r="10" spans="2:10" ht="40" customHeight="1" x14ac:dyDescent="0.2">
      <c r="B10" s="42" t="s">
        <v>264</v>
      </c>
      <c r="C10" s="40"/>
      <c r="D10" s="40"/>
      <c r="E10" s="40"/>
      <c r="F10" s="40"/>
      <c r="G10" s="40"/>
      <c r="H10" s="40"/>
      <c r="I10" s="40"/>
      <c r="J10" s="40"/>
    </row>
  </sheetData>
  <mergeCells count="1">
    <mergeCell ref="B10:J10"/>
  </mergeCells>
  <conditionalFormatting sqref="J6:J8">
    <cfRule type="cellIs" dxfId="6" priority="1" operator="equal">
      <formula>"Leadership"</formula>
    </cfRule>
    <cfRule type="cellIs" dxfId="5" priority="2" operator="equal">
      <formula>"Integration"</formula>
    </cfRule>
    <cfRule type="cellIs" dxfId="4" priority="3" operator="equal">
      <formula>"Foundation"</formula>
    </cfRule>
    <cfRule type="cellIs" dxfId="3" priority="4" operator="equal">
      <formula>"Belum Memenuhi"</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7AE60"/>
  </sheetPr>
  <dimension ref="B2:E20"/>
  <sheetViews>
    <sheetView showGridLines="0" workbookViewId="0">
      <selection activeCell="D29" sqref="D29"/>
    </sheetView>
  </sheetViews>
  <sheetFormatPr baseColWidth="10" defaultColWidth="8.83203125" defaultRowHeight="15" x14ac:dyDescent="0.2"/>
  <cols>
    <col min="1" max="1" width="3" customWidth="1"/>
    <col min="2" max="2" width="26" customWidth="1"/>
    <col min="3" max="4" width="20" customWidth="1"/>
    <col min="5" max="5" width="55" customWidth="1"/>
  </cols>
  <sheetData>
    <row r="2" spans="2:5" ht="21" x14ac:dyDescent="0.25">
      <c r="B2" s="1" t="s">
        <v>265</v>
      </c>
    </row>
    <row r="3" spans="2:5" x14ac:dyDescent="0.2">
      <c r="B3" s="20" t="str">
        <f>"Profil Peserta Aktif:  " &amp; 'Profil Peserta'!$C$11</f>
        <v>Profil Peserta Aktif:  IUP</v>
      </c>
    </row>
    <row r="5" spans="2:5" x14ac:dyDescent="0.2">
      <c r="B5" s="37" t="s">
        <v>266</v>
      </c>
      <c r="C5" s="52" t="s">
        <v>267</v>
      </c>
      <c r="D5" s="46"/>
    </row>
    <row r="6" spans="2:5" x14ac:dyDescent="0.2">
      <c r="B6" s="16" t="s">
        <v>268</v>
      </c>
      <c r="C6" s="50">
        <f>'ESG Score Summary'!H6</f>
        <v>2</v>
      </c>
      <c r="D6" s="46"/>
    </row>
    <row r="7" spans="2:5" x14ac:dyDescent="0.2">
      <c r="B7" s="16" t="s">
        <v>269</v>
      </c>
      <c r="C7" s="50">
        <f>'ESG Score Summary'!H7</f>
        <v>4.9999999999999973</v>
      </c>
      <c r="D7" s="46"/>
    </row>
    <row r="8" spans="2:5" x14ac:dyDescent="0.2">
      <c r="B8" s="16" t="s">
        <v>270</v>
      </c>
      <c r="C8" s="50">
        <f>'ESG Score Summary'!H8</f>
        <v>2</v>
      </c>
      <c r="D8" s="46"/>
    </row>
    <row r="10" spans="2:5" ht="19" x14ac:dyDescent="0.2">
      <c r="B10" s="38" t="s">
        <v>271</v>
      </c>
      <c r="C10" s="51">
        <f>(SUM('ESG Score Summary'!I6:I8)/5)*100</f>
        <v>63.999999999999972</v>
      </c>
      <c r="D10" s="46"/>
    </row>
    <row r="11" spans="2:5" x14ac:dyDescent="0.2">
      <c r="B11" s="5" t="s">
        <v>272</v>
      </c>
      <c r="C11" s="50">
        <f>MIN(C6:C8)</f>
        <v>2</v>
      </c>
      <c r="D11" s="46"/>
    </row>
    <row r="13" spans="2:5" ht="22" customHeight="1" x14ac:dyDescent="0.2">
      <c r="B13" s="38" t="s">
        <v>273</v>
      </c>
      <c r="C13" s="48" t="str">
        <f>IF('Red Flag'!$D$17="Ya","DISKUALIFIKASI TOTAL (Red Flag B)",IF(C11&gt;=4,"ESG LEADERSHIP AWARD",IF(C11&gt;=3,"ESG INTEGRATION AWARD",IF(C11&gt;=2,"ESG FOUNDATION RECOGNITION","BELUM MEMENUHI SYARAT AWARD"))))</f>
        <v>ESG FOUNDATION RECOGNITION</v>
      </c>
      <c r="D13" s="46"/>
    </row>
    <row r="15" spans="2:5" ht="20" customHeight="1" x14ac:dyDescent="0.2">
      <c r="B15" s="49" t="s">
        <v>274</v>
      </c>
      <c r="C15" s="40"/>
      <c r="D15" s="40"/>
    </row>
    <row r="16" spans="2:5" x14ac:dyDescent="0.2">
      <c r="B16" s="43" t="s">
        <v>275</v>
      </c>
      <c r="C16" s="40"/>
      <c r="D16" s="40"/>
      <c r="E16" s="40"/>
    </row>
    <row r="17" spans="2:5" x14ac:dyDescent="0.2">
      <c r="B17" s="5" t="s">
        <v>276</v>
      </c>
      <c r="C17" s="47" t="str">
        <f>IF('Red Flag'!$D$17="Ya","TIDAK ELIGIBLE (Diskualifikasi Total)",IF(OR('Red Flag'!$D$7="Ya",'Red Flag'!$D$8="Ya",'Red Flag'!$D$9="Ya"),"TIDAK ELIGIBLE (Red Flag Aktif)",IF(AND(C10&gt;=85,C11&gt;=3),"ELIGIBLE","TIDAK ELIGIBLE (Syarat Skor Belum Terpenuhi)")))</f>
        <v>TIDAK ELIGIBLE (Red Flag Aktif)</v>
      </c>
      <c r="D17" s="45"/>
      <c r="E17" s="46"/>
    </row>
    <row r="18" spans="2:5" ht="22" customHeight="1" x14ac:dyDescent="0.2">
      <c r="B18" s="38" t="s">
        <v>277</v>
      </c>
      <c r="C18" s="44" t="str">
        <f>IF(C17="ELIGIBLE","🏆 KANDIDAT THE GRAND ESG MINING CHAMPION","—")</f>
        <v>—</v>
      </c>
      <c r="D18" s="45"/>
      <c r="E18" s="46"/>
    </row>
    <row r="20" spans="2:5" ht="68" customHeight="1" x14ac:dyDescent="0.2">
      <c r="B20" s="42" t="s">
        <v>278</v>
      </c>
      <c r="C20" s="40"/>
      <c r="D20" s="40"/>
      <c r="E20" s="40"/>
    </row>
  </sheetData>
  <mergeCells count="12">
    <mergeCell ref="C6:D6"/>
    <mergeCell ref="C7:D7"/>
    <mergeCell ref="C10:D10"/>
    <mergeCell ref="C11:D11"/>
    <mergeCell ref="C5:D5"/>
    <mergeCell ref="C8:D8"/>
    <mergeCell ref="B16:E16"/>
    <mergeCell ref="C18:E18"/>
    <mergeCell ref="C17:E17"/>
    <mergeCell ref="C13:D13"/>
    <mergeCell ref="B20:E20"/>
    <mergeCell ref="B15:D15"/>
  </mergeCells>
  <conditionalFormatting sqref="C17">
    <cfRule type="cellIs" dxfId="2" priority="1" operator="equal">
      <formula>"ELIGIBLE"</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28090"/>
  </sheetPr>
  <dimension ref="B2:E19"/>
  <sheetViews>
    <sheetView showGridLines="0" workbookViewId="0">
      <selection activeCell="F17" sqref="F17"/>
    </sheetView>
  </sheetViews>
  <sheetFormatPr baseColWidth="10" defaultColWidth="8.83203125" defaultRowHeight="15" x14ac:dyDescent="0.2"/>
  <cols>
    <col min="1" max="1" width="3" customWidth="1"/>
    <col min="2" max="2" width="6" customWidth="1"/>
    <col min="3" max="3" width="52" customWidth="1"/>
    <col min="4" max="4" width="16" customWidth="1"/>
    <col min="5" max="5" width="32" customWidth="1"/>
  </cols>
  <sheetData>
    <row r="2" spans="2:5" ht="21" x14ac:dyDescent="0.25">
      <c r="B2" s="39" t="s">
        <v>279</v>
      </c>
      <c r="C2" s="40"/>
      <c r="D2" s="40"/>
      <c r="E2" s="40"/>
    </row>
    <row r="3" spans="2:5" x14ac:dyDescent="0.2">
      <c r="B3" s="54" t="s">
        <v>280</v>
      </c>
      <c r="C3" s="40"/>
      <c r="D3" s="40"/>
      <c r="E3" s="40"/>
    </row>
    <row r="5" spans="2:5" ht="16" x14ac:dyDescent="0.2">
      <c r="B5" s="55" t="s">
        <v>281</v>
      </c>
      <c r="C5" s="40"/>
      <c r="D5" s="40"/>
      <c r="E5" s="40"/>
    </row>
    <row r="6" spans="2:5" ht="26" customHeight="1" x14ac:dyDescent="0.2">
      <c r="B6" s="10" t="s">
        <v>78</v>
      </c>
      <c r="C6" s="10" t="s">
        <v>282</v>
      </c>
      <c r="D6" s="10" t="s">
        <v>283</v>
      </c>
      <c r="E6" s="10" t="s">
        <v>284</v>
      </c>
    </row>
    <row r="7" spans="2:5" ht="44" customHeight="1" x14ac:dyDescent="0.2">
      <c r="B7" s="14">
        <v>1</v>
      </c>
      <c r="C7" s="15" t="s">
        <v>285</v>
      </c>
      <c r="D7" s="17" t="s">
        <v>286</v>
      </c>
      <c r="E7" s="18" t="s">
        <v>287</v>
      </c>
    </row>
    <row r="8" spans="2:5" ht="44" customHeight="1" x14ac:dyDescent="0.2">
      <c r="B8" s="14">
        <v>2</v>
      </c>
      <c r="C8" s="15" t="s">
        <v>288</v>
      </c>
      <c r="D8" s="17" t="s">
        <v>300</v>
      </c>
      <c r="E8" s="18" t="s">
        <v>289</v>
      </c>
    </row>
    <row r="9" spans="2:5" ht="44" customHeight="1" x14ac:dyDescent="0.2">
      <c r="B9" s="14">
        <v>3</v>
      </c>
      <c r="C9" s="15" t="s">
        <v>290</v>
      </c>
      <c r="D9" s="17" t="s">
        <v>300</v>
      </c>
      <c r="E9" s="18" t="s">
        <v>291</v>
      </c>
    </row>
    <row r="11" spans="2:5" ht="16" x14ac:dyDescent="0.2">
      <c r="B11" s="53" t="s">
        <v>292</v>
      </c>
      <c r="C11" s="40"/>
      <c r="D11" s="40"/>
      <c r="E11" s="40"/>
    </row>
    <row r="12" spans="2:5" ht="26" customHeight="1" x14ac:dyDescent="0.2">
      <c r="B12" s="10" t="s">
        <v>78</v>
      </c>
      <c r="C12" s="10" t="s">
        <v>282</v>
      </c>
      <c r="D12" s="10" t="s">
        <v>283</v>
      </c>
      <c r="E12" s="10" t="s">
        <v>293</v>
      </c>
    </row>
    <row r="13" spans="2:5" ht="32" customHeight="1" x14ac:dyDescent="0.2">
      <c r="B13" s="14">
        <v>1</v>
      </c>
      <c r="C13" s="15" t="s">
        <v>294</v>
      </c>
      <c r="E13" s="19" t="s">
        <v>295</v>
      </c>
    </row>
    <row r="14" spans="2:5" ht="32" customHeight="1" x14ac:dyDescent="0.2">
      <c r="B14" s="14">
        <v>2</v>
      </c>
      <c r="C14" s="15" t="s">
        <v>296</v>
      </c>
      <c r="E14" s="19" t="s">
        <v>295</v>
      </c>
    </row>
    <row r="15" spans="2:5" ht="32" customHeight="1" x14ac:dyDescent="0.2">
      <c r="B15" s="14">
        <v>3</v>
      </c>
      <c r="C15" s="15" t="s">
        <v>297</v>
      </c>
      <c r="E15" s="19" t="s">
        <v>295</v>
      </c>
    </row>
    <row r="17" spans="2:5" x14ac:dyDescent="0.2">
      <c r="B17" s="56" t="s">
        <v>298</v>
      </c>
      <c r="C17" s="40"/>
      <c r="D17" s="17" t="s">
        <v>286</v>
      </c>
    </row>
    <row r="19" spans="2:5" ht="55" customHeight="1" x14ac:dyDescent="0.2">
      <c r="B19" s="42" t="s">
        <v>299</v>
      </c>
      <c r="C19" s="40"/>
      <c r="D19" s="40"/>
      <c r="E19" s="40"/>
    </row>
  </sheetData>
  <mergeCells count="6">
    <mergeCell ref="B11:E11"/>
    <mergeCell ref="B3:E3"/>
    <mergeCell ref="B5:E5"/>
    <mergeCell ref="B19:E19"/>
    <mergeCell ref="B2:E2"/>
    <mergeCell ref="B17:C17"/>
  </mergeCells>
  <conditionalFormatting sqref="D7:D9">
    <cfRule type="cellIs" dxfId="1" priority="1" operator="equal">
      <formula>"Ya"</formula>
    </cfRule>
  </conditionalFormatting>
  <conditionalFormatting sqref="D17">
    <cfRule type="cellIs" dxfId="0" priority="2" operator="equal">
      <formula>"Ya"</formula>
    </cfRule>
  </conditionalFormatting>
  <dataValidations count="1">
    <dataValidation type="list" sqref="D7:D9 D17" xr:uid="{00000000-0002-0000-0700-000000000000}">
      <formula1>"Ya,Tidak"</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Panduan</vt:lpstr>
      <vt:lpstr>Profil Peserta</vt:lpstr>
      <vt:lpstr>Bobot Kategori</vt:lpstr>
      <vt:lpstr>Maturity</vt:lpstr>
      <vt:lpstr>Master Checklist</vt:lpstr>
      <vt:lpstr>ESG Score Summary</vt:lpstr>
      <vt:lpstr>Award Level</vt:lpstr>
      <vt:lpstr>Red Flag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CBQA Global - M365 Legal</cp:lastModifiedBy>
  <dcterms:created xsi:type="dcterms:W3CDTF">2026-07-08T03:01:35Z</dcterms:created>
  <dcterms:modified xsi:type="dcterms:W3CDTF">2026-07-08T10:56:45Z</dcterms:modified>
</cp:coreProperties>
</file>